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5d35bdbd103599b/바탕 화면/테르미누스/"/>
    </mc:Choice>
  </mc:AlternateContent>
  <xr:revisionPtr revIDLastSave="0" documentId="11_7DC2170FBF8029A42112BCB34911F3B10E283B3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_DataTable" sheetId="1" r:id="rId1"/>
    <sheet name="Field_Guide" sheetId="2" r:id="rId2"/>
    <sheet name="Enum_Reference" sheetId="3" r:id="rId3"/>
    <sheet name="Enum_State" sheetId="4" r:id="rId4"/>
    <sheet name="Relic_DataTable" sheetId="5" r:id="rId5"/>
    <sheet name="Relic_Price_Config" sheetId="6" r:id="rId6"/>
    <sheet name="Relic_Field_Guide" sheetId="7" r:id="rId7"/>
    <sheet name="Enum_TriggerTiming" sheetId="8" r:id="rId8"/>
  </sheets>
  <definedNames>
    <definedName name="_xlnm._FilterDatabase" localSheetId="3" hidden="1">Enum_State!$B$4:$I$23</definedName>
    <definedName name="_xlnm._FilterDatabase" localSheetId="4" hidden="1">Relic_DataTable!$A$3:$Q$158</definedName>
    <definedName name="_xlnm._FilterDatabase" localSheetId="0" hidden="1">Skill_DataTable!$A$1:$Z$322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8" i="5" l="1"/>
  <c r="T158" i="5"/>
  <c r="S158" i="5"/>
  <c r="R158" i="5"/>
  <c r="Q158" i="5"/>
  <c r="U157" i="5"/>
  <c r="T157" i="5"/>
  <c r="S157" i="5"/>
  <c r="R157" i="5"/>
  <c r="Q157" i="5"/>
  <c r="U156" i="5"/>
  <c r="T156" i="5"/>
  <c r="S156" i="5"/>
  <c r="R156" i="5"/>
  <c r="Q156" i="5"/>
  <c r="U155" i="5"/>
  <c r="T155" i="5"/>
  <c r="S155" i="5"/>
  <c r="R155" i="5"/>
  <c r="Q155" i="5"/>
  <c r="U154" i="5"/>
  <c r="T154" i="5"/>
  <c r="S154" i="5"/>
  <c r="R154" i="5"/>
  <c r="Q154" i="5"/>
  <c r="U153" i="5"/>
  <c r="T153" i="5"/>
  <c r="S153" i="5"/>
  <c r="R153" i="5"/>
  <c r="Q153" i="5"/>
  <c r="U152" i="5"/>
  <c r="T152" i="5"/>
  <c r="S152" i="5"/>
  <c r="R152" i="5"/>
  <c r="Q152" i="5"/>
  <c r="U151" i="5"/>
  <c r="T151" i="5"/>
  <c r="S151" i="5"/>
  <c r="R151" i="5"/>
  <c r="Q151" i="5"/>
  <c r="U150" i="5"/>
  <c r="T150" i="5"/>
  <c r="Q150" i="5"/>
  <c r="U149" i="5"/>
  <c r="T149" i="5"/>
  <c r="S149" i="5"/>
  <c r="R149" i="5"/>
  <c r="Q149" i="5"/>
  <c r="U148" i="5"/>
  <c r="T148" i="5"/>
  <c r="Q148" i="5"/>
  <c r="U147" i="5"/>
  <c r="T147" i="5"/>
  <c r="Q147" i="5"/>
  <c r="U146" i="5"/>
  <c r="T146" i="5"/>
  <c r="Q146" i="5"/>
  <c r="U145" i="5"/>
  <c r="T145" i="5"/>
  <c r="S145" i="5"/>
  <c r="R145" i="5"/>
  <c r="Q145" i="5"/>
  <c r="U144" i="5"/>
  <c r="T144" i="5"/>
  <c r="S144" i="5"/>
  <c r="R144" i="5"/>
  <c r="Q144" i="5"/>
  <c r="U143" i="5"/>
  <c r="T143" i="5"/>
  <c r="S143" i="5"/>
  <c r="R143" i="5"/>
  <c r="Q143" i="5"/>
  <c r="U142" i="5"/>
  <c r="T142" i="5"/>
  <c r="S142" i="5"/>
  <c r="R142" i="5"/>
  <c r="Q142" i="5"/>
  <c r="U141" i="5"/>
  <c r="T141" i="5"/>
  <c r="S141" i="5"/>
  <c r="R141" i="5"/>
  <c r="Q141" i="5"/>
  <c r="U140" i="5"/>
  <c r="T140" i="5"/>
  <c r="S140" i="5"/>
  <c r="R140" i="5"/>
  <c r="Q140" i="5"/>
  <c r="U139" i="5"/>
  <c r="T139" i="5"/>
  <c r="Q139" i="5"/>
  <c r="U138" i="5"/>
  <c r="T138" i="5"/>
  <c r="Q138" i="5"/>
  <c r="U137" i="5"/>
  <c r="T137" i="5"/>
  <c r="Q137" i="5"/>
  <c r="U136" i="5"/>
  <c r="T136" i="5"/>
  <c r="Q136" i="5"/>
  <c r="U135" i="5"/>
  <c r="T135" i="5"/>
  <c r="Q135" i="5"/>
  <c r="U134" i="5"/>
  <c r="T134" i="5"/>
  <c r="Q134" i="5"/>
  <c r="U133" i="5"/>
  <c r="T133" i="5"/>
  <c r="Q133" i="5"/>
  <c r="U132" i="5"/>
  <c r="T132" i="5"/>
  <c r="Q132" i="5"/>
  <c r="U131" i="5"/>
  <c r="T131" i="5"/>
  <c r="Q131" i="5"/>
  <c r="U130" i="5"/>
  <c r="T130" i="5"/>
  <c r="Q130" i="5"/>
  <c r="U129" i="5"/>
  <c r="T129" i="5"/>
  <c r="Q129" i="5"/>
  <c r="U128" i="5"/>
  <c r="T128" i="5"/>
  <c r="Q128" i="5"/>
  <c r="U127" i="5"/>
  <c r="T127" i="5"/>
  <c r="Q127" i="5"/>
  <c r="U126" i="5"/>
  <c r="T126" i="5"/>
  <c r="Q126" i="5"/>
  <c r="U125" i="5"/>
  <c r="T125" i="5"/>
  <c r="Q125" i="5"/>
  <c r="U124" i="5"/>
  <c r="T124" i="5"/>
  <c r="Q124" i="5"/>
  <c r="U123" i="5"/>
  <c r="T123" i="5"/>
  <c r="S123" i="5"/>
  <c r="R123" i="5"/>
  <c r="Q123" i="5"/>
  <c r="U122" i="5"/>
  <c r="T122" i="5"/>
  <c r="Q122" i="5"/>
  <c r="U121" i="5"/>
  <c r="T121" i="5"/>
  <c r="Q121" i="5"/>
  <c r="U120" i="5"/>
  <c r="T120" i="5"/>
  <c r="Q120" i="5"/>
  <c r="U119" i="5"/>
  <c r="T119" i="5"/>
  <c r="Q119" i="5"/>
  <c r="U118" i="5"/>
  <c r="T118" i="5"/>
  <c r="Q118" i="5"/>
  <c r="U117" i="5"/>
  <c r="T117" i="5"/>
  <c r="Q117" i="5"/>
  <c r="U116" i="5"/>
  <c r="T116" i="5"/>
  <c r="Q116" i="5"/>
  <c r="U115" i="5"/>
  <c r="T115" i="5"/>
  <c r="Q115" i="5"/>
  <c r="U114" i="5"/>
  <c r="T114" i="5"/>
  <c r="Q114" i="5"/>
  <c r="U113" i="5"/>
  <c r="T113" i="5"/>
  <c r="Q113" i="5"/>
  <c r="U112" i="5"/>
  <c r="T112" i="5"/>
  <c r="Q112" i="5"/>
  <c r="U111" i="5"/>
  <c r="T111" i="5"/>
  <c r="Q111" i="5"/>
  <c r="U110" i="5"/>
  <c r="T110" i="5"/>
  <c r="Q110" i="5"/>
  <c r="U109" i="5"/>
  <c r="T109" i="5"/>
  <c r="Q109" i="5"/>
  <c r="U108" i="5"/>
  <c r="T108" i="5"/>
  <c r="Q108" i="5"/>
  <c r="U107" i="5"/>
  <c r="T107" i="5"/>
  <c r="Q107" i="5"/>
  <c r="U106" i="5"/>
  <c r="T106" i="5"/>
  <c r="Q106" i="5"/>
  <c r="U105" i="5"/>
  <c r="T105" i="5"/>
  <c r="Q105" i="5"/>
  <c r="U104" i="5"/>
  <c r="T104" i="5"/>
  <c r="Q104" i="5"/>
  <c r="U103" i="5"/>
  <c r="T103" i="5"/>
  <c r="Q103" i="5"/>
  <c r="U102" i="5"/>
  <c r="T102" i="5"/>
  <c r="S102" i="5"/>
  <c r="Q102" i="5"/>
  <c r="R102" i="5" s="1"/>
  <c r="U101" i="5"/>
  <c r="T101" i="5"/>
  <c r="Q101" i="5"/>
  <c r="U100" i="5"/>
  <c r="T100" i="5"/>
  <c r="Q100" i="5"/>
  <c r="U99" i="5"/>
  <c r="T99" i="5"/>
  <c r="Q99" i="5"/>
  <c r="U98" i="5"/>
  <c r="T98" i="5"/>
  <c r="Q98" i="5"/>
  <c r="U97" i="5"/>
  <c r="T97" i="5"/>
  <c r="Q97" i="5"/>
  <c r="U96" i="5"/>
  <c r="T96" i="5"/>
  <c r="Q96" i="5"/>
  <c r="U95" i="5"/>
  <c r="T95" i="5"/>
  <c r="Q95" i="5"/>
  <c r="U94" i="5"/>
  <c r="T94" i="5"/>
  <c r="Q94" i="5"/>
  <c r="U93" i="5"/>
  <c r="T93" i="5"/>
  <c r="Q93" i="5"/>
  <c r="U92" i="5"/>
  <c r="T92" i="5"/>
  <c r="Q92" i="5"/>
  <c r="U91" i="5"/>
  <c r="T91" i="5"/>
  <c r="Q91" i="5"/>
  <c r="U90" i="5"/>
  <c r="T90" i="5"/>
  <c r="Q90" i="5"/>
  <c r="U89" i="5"/>
  <c r="T89" i="5"/>
  <c r="Q89" i="5"/>
  <c r="U88" i="5"/>
  <c r="T88" i="5"/>
  <c r="S88" i="5"/>
  <c r="R88" i="5"/>
  <c r="Q88" i="5"/>
  <c r="U87" i="5"/>
  <c r="T87" i="5"/>
  <c r="Q87" i="5"/>
  <c r="U86" i="5"/>
  <c r="T86" i="5"/>
  <c r="Q86" i="5"/>
  <c r="U85" i="5"/>
  <c r="T85" i="5"/>
  <c r="Q85" i="5"/>
  <c r="U84" i="5"/>
  <c r="T84" i="5"/>
  <c r="Q84" i="5"/>
  <c r="U83" i="5"/>
  <c r="T83" i="5"/>
  <c r="Q83" i="5"/>
  <c r="U82" i="5"/>
  <c r="T82" i="5"/>
  <c r="Q82" i="5"/>
  <c r="U81" i="5"/>
  <c r="T81" i="5"/>
  <c r="Q81" i="5"/>
  <c r="U80" i="5"/>
  <c r="T80" i="5"/>
  <c r="Q80" i="5"/>
  <c r="U79" i="5"/>
  <c r="T79" i="5"/>
  <c r="Q79" i="5"/>
  <c r="U78" i="5"/>
  <c r="T78" i="5"/>
  <c r="Q78" i="5"/>
  <c r="U77" i="5"/>
  <c r="T77" i="5"/>
  <c r="Q77" i="5"/>
  <c r="U76" i="5"/>
  <c r="T76" i="5"/>
  <c r="Q76" i="5"/>
  <c r="U75" i="5"/>
  <c r="T75" i="5"/>
  <c r="Q75" i="5"/>
  <c r="U74" i="5"/>
  <c r="T74" i="5"/>
  <c r="Q74" i="5"/>
  <c r="U73" i="5"/>
  <c r="T73" i="5"/>
  <c r="Q73" i="5"/>
  <c r="U72" i="5"/>
  <c r="T72" i="5"/>
  <c r="Q72" i="5"/>
  <c r="U71" i="5"/>
  <c r="T71" i="5"/>
  <c r="Q71" i="5"/>
  <c r="U70" i="5"/>
  <c r="T70" i="5"/>
  <c r="Q70" i="5"/>
  <c r="U69" i="5"/>
  <c r="T69" i="5"/>
  <c r="Q69" i="5"/>
  <c r="U68" i="5"/>
  <c r="T68" i="5"/>
  <c r="Q68" i="5"/>
  <c r="U67" i="5"/>
  <c r="T67" i="5"/>
  <c r="Q67" i="5"/>
  <c r="U66" i="5"/>
  <c r="T66" i="5"/>
  <c r="Q66" i="5"/>
  <c r="U65" i="5"/>
  <c r="T65" i="5"/>
  <c r="Q65" i="5"/>
  <c r="U64" i="5"/>
  <c r="T64" i="5"/>
  <c r="Q64" i="5"/>
  <c r="U63" i="5"/>
  <c r="T63" i="5"/>
  <c r="Q63" i="5"/>
  <c r="U62" i="5"/>
  <c r="T62" i="5"/>
  <c r="Q62" i="5"/>
  <c r="U61" i="5"/>
  <c r="T61" i="5"/>
  <c r="Q61" i="5"/>
  <c r="U60" i="5"/>
  <c r="T60" i="5"/>
  <c r="Q60" i="5"/>
  <c r="U59" i="5"/>
  <c r="T59" i="5"/>
  <c r="Q59" i="5"/>
  <c r="U58" i="5"/>
  <c r="T58" i="5"/>
  <c r="Q58" i="5"/>
  <c r="U57" i="5"/>
  <c r="T57" i="5"/>
  <c r="Q57" i="5"/>
  <c r="U56" i="5"/>
  <c r="T56" i="5"/>
  <c r="Q56" i="5"/>
  <c r="U55" i="5"/>
  <c r="T55" i="5"/>
  <c r="Q55" i="5"/>
  <c r="U54" i="5"/>
  <c r="T54" i="5"/>
  <c r="Q54" i="5"/>
  <c r="U53" i="5"/>
  <c r="T53" i="5"/>
  <c r="Q53" i="5"/>
  <c r="U52" i="5"/>
  <c r="T52" i="5"/>
  <c r="Q52" i="5"/>
  <c r="U51" i="5"/>
  <c r="T51" i="5"/>
  <c r="Q51" i="5"/>
  <c r="U50" i="5"/>
  <c r="T50" i="5"/>
  <c r="Q50" i="5"/>
  <c r="U49" i="5"/>
  <c r="T49" i="5"/>
  <c r="Q49" i="5"/>
  <c r="U48" i="5"/>
  <c r="T48" i="5"/>
  <c r="Q48" i="5"/>
  <c r="U47" i="5"/>
  <c r="T47" i="5"/>
  <c r="Q47" i="5"/>
  <c r="U46" i="5"/>
  <c r="T46" i="5"/>
  <c r="Q46" i="5"/>
  <c r="U45" i="5"/>
  <c r="T45" i="5"/>
  <c r="Q45" i="5"/>
  <c r="U44" i="5"/>
  <c r="T44" i="5"/>
  <c r="Q44" i="5"/>
  <c r="U43" i="5"/>
  <c r="T43" i="5"/>
  <c r="Q43" i="5"/>
  <c r="U42" i="5"/>
  <c r="T42" i="5"/>
  <c r="Q42" i="5"/>
  <c r="U41" i="5"/>
  <c r="T41" i="5"/>
  <c r="Q41" i="5"/>
  <c r="U40" i="5"/>
  <c r="T40" i="5"/>
  <c r="Q40" i="5"/>
  <c r="U39" i="5"/>
  <c r="T39" i="5"/>
  <c r="Q39" i="5"/>
  <c r="U38" i="5"/>
  <c r="T38" i="5"/>
  <c r="Q38" i="5"/>
  <c r="U37" i="5"/>
  <c r="T37" i="5"/>
  <c r="Q37" i="5"/>
  <c r="U36" i="5"/>
  <c r="T36" i="5"/>
  <c r="Q36" i="5"/>
  <c r="U35" i="5"/>
  <c r="T35" i="5"/>
  <c r="Q35" i="5"/>
  <c r="U34" i="5"/>
  <c r="T34" i="5"/>
  <c r="Q34" i="5"/>
  <c r="U33" i="5"/>
  <c r="T33" i="5"/>
  <c r="Q33" i="5"/>
  <c r="U32" i="5"/>
  <c r="T32" i="5"/>
  <c r="Q32" i="5"/>
  <c r="U31" i="5"/>
  <c r="T31" i="5"/>
  <c r="Q31" i="5"/>
  <c r="U30" i="5"/>
  <c r="T30" i="5"/>
  <c r="Q30" i="5"/>
  <c r="U29" i="5"/>
  <c r="T29" i="5"/>
  <c r="Q29" i="5"/>
  <c r="U28" i="5"/>
  <c r="T28" i="5"/>
  <c r="Q28" i="5"/>
  <c r="U27" i="5"/>
  <c r="T27" i="5"/>
  <c r="Q27" i="5"/>
  <c r="U26" i="5"/>
  <c r="T26" i="5"/>
  <c r="Q26" i="5"/>
  <c r="U25" i="5"/>
  <c r="T25" i="5"/>
  <c r="Q25" i="5"/>
  <c r="U24" i="5"/>
  <c r="T24" i="5"/>
  <c r="Q24" i="5"/>
  <c r="U23" i="5"/>
  <c r="T23" i="5"/>
  <c r="Q23" i="5"/>
  <c r="U22" i="5"/>
  <c r="T22" i="5"/>
  <c r="Q22" i="5"/>
  <c r="U21" i="5"/>
  <c r="T21" i="5"/>
  <c r="Q21" i="5"/>
  <c r="U20" i="5"/>
  <c r="T20" i="5"/>
  <c r="Q20" i="5"/>
  <c r="U19" i="5"/>
  <c r="T19" i="5"/>
  <c r="Q19" i="5"/>
  <c r="U18" i="5"/>
  <c r="T18" i="5"/>
  <c r="S18" i="5"/>
  <c r="R18" i="5"/>
  <c r="Q18" i="5"/>
  <c r="U17" i="5"/>
  <c r="T17" i="5"/>
  <c r="S17" i="5"/>
  <c r="Q17" i="5"/>
  <c r="R17" i="5" s="1"/>
  <c r="U16" i="5"/>
  <c r="T16" i="5"/>
  <c r="Q16" i="5"/>
  <c r="U15" i="5"/>
  <c r="T15" i="5"/>
  <c r="Q15" i="5"/>
  <c r="U14" i="5"/>
  <c r="T14" i="5"/>
  <c r="S14" i="5"/>
  <c r="R14" i="5"/>
  <c r="Q14" i="5"/>
  <c r="U13" i="5"/>
  <c r="T13" i="5"/>
  <c r="S13" i="5"/>
  <c r="R13" i="5"/>
  <c r="Q13" i="5"/>
  <c r="U12" i="5"/>
  <c r="T12" i="5"/>
  <c r="Q12" i="5"/>
  <c r="U11" i="5"/>
  <c r="T11" i="5"/>
  <c r="Q11" i="5"/>
  <c r="U10" i="5"/>
  <c r="T10" i="5"/>
  <c r="Q10" i="5"/>
  <c r="U9" i="5"/>
  <c r="T9" i="5"/>
  <c r="Q9" i="5"/>
  <c r="U8" i="5"/>
  <c r="T8" i="5"/>
  <c r="Q8" i="5"/>
  <c r="U7" i="5"/>
  <c r="T7" i="5"/>
  <c r="Q7" i="5"/>
  <c r="U6" i="5"/>
  <c r="T6" i="5"/>
  <c r="Q6" i="5"/>
  <c r="U5" i="5"/>
  <c r="T5" i="5"/>
  <c r="Q5" i="5"/>
  <c r="U4" i="5"/>
  <c r="T4" i="5"/>
  <c r="Q4" i="5"/>
  <c r="AA322" i="1"/>
  <c r="AB322" i="1" s="1"/>
  <c r="AA321" i="1"/>
  <c r="AB321" i="1" s="1"/>
  <c r="AA320" i="1"/>
  <c r="AB320" i="1" s="1"/>
  <c r="AA319" i="1"/>
  <c r="AB319" i="1" s="1"/>
  <c r="AA318" i="1"/>
  <c r="AB318" i="1" s="1"/>
  <c r="AA317" i="1"/>
  <c r="AB317" i="1" s="1"/>
  <c r="AA316" i="1"/>
  <c r="AB316" i="1" s="1"/>
  <c r="AA315" i="1"/>
  <c r="AB315" i="1" s="1"/>
  <c r="AA314" i="1"/>
  <c r="AB314" i="1" s="1"/>
  <c r="AA313" i="1"/>
  <c r="AB313" i="1" s="1"/>
  <c r="AA312" i="1"/>
  <c r="AB312" i="1" s="1"/>
  <c r="AA311" i="1"/>
  <c r="AB311" i="1" s="1"/>
  <c r="AA310" i="1"/>
  <c r="AB310" i="1" s="1"/>
  <c r="AA309" i="1"/>
  <c r="AB309" i="1" s="1"/>
  <c r="AA308" i="1"/>
  <c r="AB308" i="1" s="1"/>
  <c r="AA307" i="1"/>
  <c r="AB307" i="1" s="1"/>
  <c r="AA306" i="1"/>
  <c r="AB306" i="1" s="1"/>
  <c r="AA305" i="1"/>
  <c r="AB305" i="1" s="1"/>
  <c r="AA304" i="1"/>
  <c r="AB304" i="1" s="1"/>
  <c r="AA303" i="1"/>
  <c r="AB303" i="1" s="1"/>
  <c r="AA302" i="1"/>
  <c r="AB302" i="1" s="1"/>
  <c r="AA301" i="1"/>
  <c r="AB301" i="1" s="1"/>
  <c r="AA300" i="1"/>
  <c r="AB300" i="1" s="1"/>
  <c r="AA299" i="1"/>
  <c r="AB299" i="1" s="1"/>
  <c r="AA298" i="1"/>
  <c r="AB298" i="1" s="1"/>
  <c r="AA297" i="1"/>
  <c r="AB297" i="1" s="1"/>
  <c r="AA296" i="1"/>
  <c r="AB296" i="1" s="1"/>
  <c r="AA295" i="1"/>
  <c r="AB295" i="1" s="1"/>
  <c r="AA294" i="1"/>
  <c r="AB294" i="1" s="1"/>
  <c r="AA293" i="1"/>
  <c r="AB293" i="1" s="1"/>
  <c r="AA292" i="1"/>
  <c r="AB292" i="1" s="1"/>
  <c r="AA291" i="1"/>
  <c r="AB291" i="1" s="1"/>
  <c r="AA290" i="1"/>
  <c r="AB290" i="1" s="1"/>
  <c r="AA289" i="1"/>
  <c r="AB289" i="1" s="1"/>
  <c r="AA288" i="1"/>
  <c r="AB288" i="1" s="1"/>
  <c r="AA287" i="1"/>
  <c r="AB287" i="1" s="1"/>
  <c r="AA286" i="1"/>
  <c r="AB286" i="1" s="1"/>
  <c r="AB285" i="1"/>
  <c r="AA285" i="1"/>
  <c r="AA284" i="1"/>
  <c r="AB284" i="1" s="1"/>
  <c r="AA283" i="1"/>
  <c r="AB283" i="1" s="1"/>
  <c r="AA282" i="1"/>
  <c r="AB282" i="1" s="1"/>
  <c r="AA281" i="1"/>
  <c r="AB281" i="1" s="1"/>
  <c r="AA280" i="1"/>
  <c r="AB280" i="1" s="1"/>
  <c r="AA279" i="1"/>
  <c r="AB279" i="1" s="1"/>
  <c r="AA278" i="1"/>
  <c r="AB278" i="1" s="1"/>
  <c r="AA277" i="1"/>
  <c r="AB277" i="1" s="1"/>
  <c r="AA276" i="1"/>
  <c r="AB276" i="1" s="1"/>
  <c r="AA275" i="1"/>
  <c r="AB275" i="1" s="1"/>
  <c r="AA274" i="1"/>
  <c r="AB274" i="1" s="1"/>
  <c r="AA273" i="1"/>
  <c r="AB273" i="1" s="1"/>
  <c r="AA272" i="1"/>
  <c r="AB272" i="1" s="1"/>
  <c r="AA271" i="1"/>
  <c r="AB271" i="1" s="1"/>
  <c r="AA270" i="1"/>
  <c r="AB270" i="1" s="1"/>
  <c r="AA269" i="1"/>
  <c r="AB269" i="1" s="1"/>
  <c r="AA268" i="1"/>
  <c r="AB268" i="1" s="1"/>
  <c r="AA267" i="1"/>
  <c r="AB267" i="1" s="1"/>
  <c r="AA266" i="1"/>
  <c r="AB266" i="1" s="1"/>
  <c r="AA265" i="1"/>
  <c r="AB265" i="1" s="1"/>
  <c r="AA264" i="1"/>
  <c r="AB264" i="1" s="1"/>
  <c r="AA263" i="1"/>
  <c r="AB263" i="1" s="1"/>
  <c r="AA262" i="1"/>
  <c r="AB262" i="1" s="1"/>
  <c r="AA261" i="1"/>
  <c r="AB261" i="1" s="1"/>
  <c r="AA260" i="1"/>
  <c r="AB260" i="1" s="1"/>
  <c r="AA259" i="1"/>
  <c r="AB259" i="1" s="1"/>
  <c r="AA258" i="1"/>
  <c r="AB258" i="1" s="1"/>
  <c r="AA257" i="1"/>
  <c r="AB257" i="1" s="1"/>
  <c r="AA256" i="1"/>
  <c r="AB256" i="1" s="1"/>
  <c r="AA255" i="1"/>
  <c r="AB255" i="1" s="1"/>
  <c r="AA254" i="1"/>
  <c r="AB254" i="1" s="1"/>
  <c r="AA253" i="1"/>
  <c r="AB253" i="1" s="1"/>
  <c r="AA252" i="1"/>
  <c r="AB252" i="1" s="1"/>
  <c r="AA251" i="1"/>
  <c r="AB251" i="1" s="1"/>
  <c r="AA250" i="1"/>
  <c r="AB250" i="1" s="1"/>
  <c r="AA249" i="1"/>
  <c r="AB249" i="1" s="1"/>
  <c r="AA248" i="1"/>
  <c r="AB248" i="1" s="1"/>
  <c r="AA247" i="1"/>
  <c r="AB247" i="1" s="1"/>
  <c r="AA246" i="1"/>
  <c r="AB246" i="1" s="1"/>
  <c r="AA245" i="1"/>
  <c r="AB245" i="1" s="1"/>
  <c r="AA244" i="1"/>
  <c r="AB244" i="1" s="1"/>
  <c r="AA243" i="1"/>
  <c r="AB243" i="1" s="1"/>
  <c r="AA242" i="1"/>
  <c r="AB242" i="1" s="1"/>
  <c r="AA241" i="1"/>
  <c r="AB241" i="1" s="1"/>
  <c r="AA240" i="1"/>
  <c r="AB240" i="1" s="1"/>
  <c r="AA239" i="1"/>
  <c r="AB239" i="1" s="1"/>
  <c r="AA238" i="1"/>
  <c r="AB238" i="1" s="1"/>
  <c r="AA237" i="1"/>
  <c r="AB237" i="1" s="1"/>
  <c r="AA236" i="1"/>
  <c r="AB236" i="1" s="1"/>
  <c r="AA235" i="1"/>
  <c r="AB235" i="1" s="1"/>
  <c r="AA234" i="1"/>
  <c r="AB234" i="1" s="1"/>
  <c r="AA233" i="1"/>
  <c r="AB233" i="1" s="1"/>
  <c r="AA232" i="1"/>
  <c r="AB232" i="1" s="1"/>
  <c r="AA231" i="1"/>
  <c r="AB231" i="1" s="1"/>
  <c r="AA230" i="1"/>
  <c r="AB230" i="1" s="1"/>
  <c r="AA229" i="1"/>
  <c r="AB229" i="1" s="1"/>
  <c r="AA228" i="1"/>
  <c r="AB228" i="1" s="1"/>
  <c r="AA227" i="1"/>
  <c r="AB227" i="1" s="1"/>
  <c r="AA226" i="1"/>
  <c r="AB226" i="1" s="1"/>
  <c r="AA225" i="1"/>
  <c r="AB225" i="1" s="1"/>
  <c r="AA224" i="1"/>
  <c r="AB224" i="1" s="1"/>
  <c r="AA223" i="1"/>
  <c r="AB223" i="1" s="1"/>
  <c r="AA222" i="1"/>
  <c r="AB222" i="1" s="1"/>
  <c r="AA221" i="1"/>
  <c r="AB221" i="1" s="1"/>
  <c r="AA220" i="1"/>
  <c r="AB220" i="1" s="1"/>
  <c r="AA219" i="1"/>
  <c r="AB219" i="1" s="1"/>
  <c r="AA218" i="1"/>
  <c r="AB218" i="1" s="1"/>
  <c r="AA217" i="1"/>
  <c r="AB217" i="1" s="1"/>
  <c r="AA216" i="1"/>
  <c r="AB216" i="1" s="1"/>
  <c r="AA215" i="1"/>
  <c r="AB215" i="1" s="1"/>
  <c r="AA214" i="1"/>
  <c r="AB214" i="1" s="1"/>
  <c r="AA213" i="1"/>
  <c r="AB213" i="1" s="1"/>
  <c r="AA212" i="1"/>
  <c r="AB212" i="1" s="1"/>
  <c r="AA211" i="1"/>
  <c r="AB211" i="1" s="1"/>
  <c r="AA210" i="1"/>
  <c r="AB210" i="1" s="1"/>
  <c r="AA209" i="1"/>
  <c r="AB209" i="1" s="1"/>
  <c r="AA208" i="1"/>
  <c r="AB208" i="1" s="1"/>
  <c r="AA207" i="1"/>
  <c r="AB207" i="1" s="1"/>
  <c r="AA206" i="1"/>
  <c r="AB206" i="1" s="1"/>
  <c r="AA205" i="1"/>
  <c r="AB205" i="1" s="1"/>
  <c r="AA204" i="1"/>
  <c r="AB204" i="1" s="1"/>
  <c r="AA203" i="1"/>
  <c r="AB203" i="1" s="1"/>
  <c r="AA202" i="1"/>
  <c r="AB202" i="1" s="1"/>
  <c r="AA201" i="1"/>
  <c r="AB201" i="1" s="1"/>
  <c r="AA200" i="1"/>
  <c r="AB200" i="1" s="1"/>
  <c r="AA199" i="1"/>
  <c r="AB199" i="1" s="1"/>
  <c r="AA198" i="1"/>
  <c r="AB198" i="1" s="1"/>
  <c r="AA197" i="1"/>
  <c r="AB197" i="1" s="1"/>
  <c r="AA196" i="1"/>
  <c r="AB196" i="1" s="1"/>
  <c r="AA195" i="1"/>
  <c r="AB195" i="1" s="1"/>
  <c r="AA194" i="1"/>
  <c r="AB194" i="1" s="1"/>
  <c r="AA193" i="1"/>
  <c r="AB193" i="1" s="1"/>
  <c r="AA192" i="1"/>
  <c r="AB192" i="1" s="1"/>
  <c r="AA191" i="1"/>
  <c r="AB191" i="1" s="1"/>
  <c r="AA190" i="1"/>
  <c r="AB190" i="1" s="1"/>
  <c r="AA189" i="1"/>
  <c r="AB189" i="1" s="1"/>
  <c r="AA188" i="1"/>
  <c r="AB188" i="1" s="1"/>
  <c r="AA187" i="1"/>
  <c r="AB187" i="1" s="1"/>
  <c r="AA186" i="1"/>
  <c r="AB186" i="1" s="1"/>
  <c r="AA185" i="1"/>
  <c r="AB185" i="1" s="1"/>
  <c r="AA184" i="1"/>
  <c r="AB184" i="1" s="1"/>
  <c r="AA183" i="1"/>
  <c r="AB183" i="1" s="1"/>
  <c r="AA182" i="1"/>
  <c r="AB182" i="1" s="1"/>
  <c r="AA181" i="1"/>
  <c r="AB181" i="1" s="1"/>
  <c r="AA180" i="1"/>
  <c r="AB180" i="1" s="1"/>
  <c r="AA179" i="1"/>
  <c r="AB179" i="1" s="1"/>
  <c r="AA178" i="1"/>
  <c r="AB178" i="1" s="1"/>
  <c r="AA177" i="1"/>
  <c r="AB177" i="1" s="1"/>
  <c r="AA176" i="1"/>
  <c r="AB176" i="1" s="1"/>
  <c r="AA175" i="1"/>
  <c r="AB175" i="1" s="1"/>
  <c r="AA174" i="1"/>
  <c r="AB174" i="1" s="1"/>
  <c r="AA173" i="1"/>
  <c r="AB173" i="1" s="1"/>
  <c r="AA172" i="1"/>
  <c r="AB172" i="1" s="1"/>
  <c r="AA171" i="1"/>
  <c r="AB171" i="1" s="1"/>
  <c r="AA170" i="1"/>
  <c r="AB170" i="1" s="1"/>
  <c r="AA169" i="1"/>
  <c r="AB169" i="1" s="1"/>
  <c r="AA168" i="1"/>
  <c r="AB168" i="1" s="1"/>
  <c r="AA167" i="1"/>
  <c r="AB167" i="1" s="1"/>
  <c r="AA166" i="1"/>
  <c r="AB166" i="1" s="1"/>
  <c r="AA165" i="1"/>
  <c r="AB165" i="1" s="1"/>
  <c r="AA164" i="1"/>
  <c r="AB164" i="1" s="1"/>
  <c r="AA163" i="1"/>
  <c r="AB163" i="1" s="1"/>
  <c r="AA162" i="1"/>
  <c r="AB162" i="1" s="1"/>
  <c r="AA161" i="1"/>
  <c r="AB161" i="1" s="1"/>
  <c r="AA160" i="1"/>
  <c r="AB160" i="1" s="1"/>
  <c r="AA159" i="1"/>
  <c r="AB159" i="1" s="1"/>
  <c r="AA158" i="1"/>
  <c r="AB158" i="1" s="1"/>
  <c r="AA157" i="1"/>
  <c r="AB157" i="1" s="1"/>
  <c r="AA156" i="1"/>
  <c r="AB156" i="1" s="1"/>
  <c r="AA155" i="1"/>
  <c r="AB155" i="1" s="1"/>
  <c r="AA154" i="1"/>
  <c r="AB154" i="1" s="1"/>
  <c r="AA153" i="1"/>
  <c r="AB153" i="1" s="1"/>
  <c r="AA152" i="1"/>
  <c r="AB152" i="1" s="1"/>
  <c r="AA151" i="1"/>
  <c r="AB151" i="1" s="1"/>
  <c r="AA150" i="1"/>
  <c r="AB150" i="1" s="1"/>
  <c r="AA149" i="1"/>
  <c r="AB149" i="1" s="1"/>
  <c r="AA148" i="1"/>
  <c r="AB148" i="1" s="1"/>
  <c r="AA147" i="1"/>
  <c r="AB147" i="1" s="1"/>
  <c r="AA146" i="1"/>
  <c r="AB146" i="1" s="1"/>
  <c r="AA145" i="1"/>
  <c r="AB145" i="1" s="1"/>
  <c r="AA144" i="1"/>
  <c r="AB144" i="1" s="1"/>
  <c r="AA143" i="1"/>
  <c r="AB143" i="1" s="1"/>
  <c r="AA142" i="1"/>
  <c r="AB142" i="1" s="1"/>
  <c r="AA141" i="1"/>
  <c r="AB141" i="1" s="1"/>
  <c r="AA140" i="1"/>
  <c r="AB140" i="1" s="1"/>
  <c r="AA139" i="1"/>
  <c r="AB139" i="1" s="1"/>
  <c r="AA138" i="1"/>
  <c r="AB138" i="1" s="1"/>
  <c r="AA137" i="1"/>
  <c r="AB137" i="1" s="1"/>
  <c r="AA136" i="1"/>
  <c r="AB136" i="1" s="1"/>
  <c r="AA135" i="1"/>
  <c r="AB135" i="1" s="1"/>
  <c r="AA134" i="1"/>
  <c r="AB134" i="1" s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A126" i="1"/>
  <c r="AB126" i="1" s="1"/>
  <c r="AA125" i="1"/>
  <c r="AB125" i="1" s="1"/>
  <c r="AA124" i="1"/>
  <c r="AB124" i="1" s="1"/>
  <c r="AA123" i="1"/>
  <c r="AB123" i="1" s="1"/>
  <c r="AA122" i="1"/>
  <c r="AB122" i="1" s="1"/>
  <c r="AA121" i="1"/>
  <c r="AB121" i="1" s="1"/>
  <c r="AA120" i="1"/>
  <c r="AB120" i="1" s="1"/>
  <c r="AA119" i="1"/>
  <c r="AB119" i="1" s="1"/>
  <c r="AA118" i="1"/>
  <c r="AB118" i="1" s="1"/>
  <c r="AA117" i="1"/>
  <c r="AB117" i="1" s="1"/>
  <c r="AA116" i="1"/>
  <c r="AB116" i="1" s="1"/>
  <c r="AA115" i="1"/>
  <c r="AB115" i="1" s="1"/>
  <c r="AA114" i="1"/>
  <c r="AB114" i="1" s="1"/>
  <c r="AA113" i="1"/>
  <c r="AB113" i="1" s="1"/>
  <c r="AA112" i="1"/>
  <c r="AB112" i="1" s="1"/>
  <c r="AA111" i="1"/>
  <c r="AB111" i="1" s="1"/>
  <c r="AA110" i="1"/>
  <c r="AB110" i="1" s="1"/>
  <c r="AA109" i="1"/>
  <c r="AB109" i="1" s="1"/>
  <c r="AA108" i="1"/>
  <c r="AB108" i="1" s="1"/>
  <c r="AA107" i="1"/>
  <c r="AB107" i="1" s="1"/>
  <c r="AA106" i="1"/>
  <c r="AB106" i="1" s="1"/>
  <c r="AA105" i="1"/>
  <c r="AB105" i="1" s="1"/>
  <c r="AA104" i="1"/>
  <c r="AB104" i="1" s="1"/>
  <c r="AA103" i="1"/>
  <c r="AB103" i="1" s="1"/>
  <c r="AA102" i="1"/>
  <c r="AB102" i="1" s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A94" i="1"/>
  <c r="AB94" i="1" s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B37" i="1"/>
  <c r="AA37" i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A4" i="1"/>
  <c r="AB4" i="1" s="1"/>
  <c r="AA3" i="1"/>
  <c r="AB3" i="1" s="1"/>
  <c r="AA2" i="1"/>
  <c r="AB2" i="1" s="1"/>
  <c r="R150" i="5" l="1"/>
  <c r="S150" i="5"/>
  <c r="R148" i="5"/>
  <c r="S148" i="5"/>
  <c r="R147" i="5"/>
  <c r="S147" i="5"/>
  <c r="R146" i="5"/>
  <c r="S146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R128" i="5"/>
  <c r="S128" i="5"/>
  <c r="R127" i="5"/>
  <c r="S127" i="5"/>
  <c r="S126" i="5"/>
  <c r="R126" i="5"/>
  <c r="S125" i="5"/>
  <c r="R125" i="5"/>
  <c r="S124" i="5"/>
  <c r="R124" i="5"/>
  <c r="S122" i="5"/>
  <c r="R122" i="5"/>
  <c r="S121" i="5"/>
  <c r="R121" i="5"/>
  <c r="R120" i="5"/>
  <c r="S120" i="5"/>
  <c r="R119" i="5"/>
  <c r="S119" i="5"/>
  <c r="R118" i="5"/>
  <c r="S118" i="5"/>
  <c r="R117" i="5"/>
  <c r="S117" i="5"/>
  <c r="R116" i="5"/>
  <c r="S116" i="5"/>
  <c r="S115" i="5"/>
  <c r="R115" i="5"/>
  <c r="S114" i="5"/>
  <c r="R114" i="5"/>
  <c r="S113" i="5"/>
  <c r="R113" i="5"/>
  <c r="S112" i="5"/>
  <c r="R112" i="5"/>
  <c r="S111" i="5"/>
  <c r="R111" i="5"/>
  <c r="R110" i="5"/>
  <c r="S110" i="5"/>
  <c r="R109" i="5"/>
  <c r="S109" i="5"/>
  <c r="S108" i="5"/>
  <c r="R108" i="5"/>
  <c r="S107" i="5"/>
  <c r="R107" i="5"/>
  <c r="R106" i="5"/>
  <c r="S106" i="5"/>
  <c r="S105" i="5"/>
  <c r="R105" i="5"/>
  <c r="R104" i="5"/>
  <c r="S104" i="5"/>
  <c r="S103" i="5"/>
  <c r="R103" i="5"/>
  <c r="R101" i="5"/>
  <c r="S101" i="5"/>
  <c r="S100" i="5"/>
  <c r="R100" i="5"/>
  <c r="R99" i="5"/>
  <c r="S99" i="5"/>
  <c r="S98" i="5"/>
  <c r="R98" i="5"/>
  <c r="S97" i="5"/>
  <c r="R97" i="5"/>
  <c r="R96" i="5"/>
  <c r="S96" i="5"/>
  <c r="R95" i="5"/>
  <c r="S95" i="5"/>
  <c r="R94" i="5"/>
  <c r="S94" i="5"/>
  <c r="R93" i="5"/>
  <c r="S93" i="5"/>
  <c r="R92" i="5"/>
  <c r="S92" i="5"/>
  <c r="S91" i="5"/>
  <c r="R91" i="5"/>
  <c r="S90" i="5"/>
  <c r="R90" i="5"/>
  <c r="S89" i="5"/>
  <c r="R89" i="5"/>
  <c r="R87" i="5"/>
  <c r="S87" i="5"/>
  <c r="R86" i="5"/>
  <c r="S86" i="5"/>
  <c r="S85" i="5"/>
  <c r="R85" i="5"/>
  <c r="R84" i="5"/>
  <c r="S84" i="5"/>
  <c r="S83" i="5"/>
  <c r="R83" i="5"/>
  <c r="R82" i="5"/>
  <c r="S82" i="5"/>
  <c r="R81" i="5"/>
  <c r="S81" i="5"/>
  <c r="R80" i="5"/>
  <c r="S80" i="5"/>
  <c r="R79" i="5"/>
  <c r="S79" i="5"/>
  <c r="R78" i="5"/>
  <c r="S78" i="5"/>
  <c r="S77" i="5"/>
  <c r="R77" i="5"/>
  <c r="R76" i="5"/>
  <c r="S76" i="5"/>
  <c r="R75" i="5"/>
  <c r="S75" i="5"/>
  <c r="S74" i="5"/>
  <c r="R74" i="5"/>
  <c r="R73" i="5"/>
  <c r="S73" i="5"/>
  <c r="S72" i="5"/>
  <c r="R72" i="5"/>
  <c r="R71" i="5"/>
  <c r="S71" i="5"/>
  <c r="R70" i="5"/>
  <c r="S70" i="5"/>
  <c r="R69" i="5"/>
  <c r="S69" i="5"/>
  <c r="S68" i="5"/>
  <c r="R68" i="5"/>
  <c r="R67" i="5"/>
  <c r="S67" i="5"/>
  <c r="R66" i="5"/>
  <c r="S66" i="5"/>
  <c r="S65" i="5"/>
  <c r="R65" i="5"/>
  <c r="S64" i="5"/>
  <c r="R64" i="5"/>
  <c r="R63" i="5"/>
  <c r="S63" i="5"/>
  <c r="S62" i="5"/>
  <c r="R62" i="5"/>
  <c r="R61" i="5"/>
  <c r="S61" i="5"/>
  <c r="S60" i="5"/>
  <c r="R60" i="5"/>
  <c r="R59" i="5"/>
  <c r="S59" i="5"/>
  <c r="R58" i="5"/>
  <c r="S58" i="5"/>
  <c r="R57" i="5"/>
  <c r="S57" i="5"/>
  <c r="S56" i="5"/>
  <c r="R56" i="5"/>
  <c r="S55" i="5"/>
  <c r="R55" i="5"/>
  <c r="S54" i="5"/>
  <c r="R54" i="5"/>
  <c r="R53" i="5"/>
  <c r="S53" i="5"/>
  <c r="R52" i="5"/>
  <c r="S52" i="5"/>
  <c r="S51" i="5"/>
  <c r="R51" i="5"/>
  <c r="R50" i="5"/>
  <c r="S50" i="5"/>
  <c r="S49" i="5"/>
  <c r="R49" i="5"/>
  <c r="S48" i="5"/>
  <c r="R48" i="5"/>
  <c r="R47" i="5"/>
  <c r="S47" i="5"/>
  <c r="R46" i="5"/>
  <c r="S46" i="5"/>
  <c r="S45" i="5"/>
  <c r="R45" i="5"/>
  <c r="S44" i="5"/>
  <c r="R44" i="5"/>
  <c r="R43" i="5"/>
  <c r="S43" i="5"/>
  <c r="R42" i="5"/>
  <c r="S42" i="5"/>
  <c r="S41" i="5"/>
  <c r="R41" i="5"/>
  <c r="R40" i="5"/>
  <c r="S40" i="5"/>
  <c r="R39" i="5"/>
  <c r="S39" i="5"/>
  <c r="R38" i="5"/>
  <c r="S38" i="5"/>
  <c r="R37" i="5"/>
  <c r="S37" i="5"/>
  <c r="R36" i="5"/>
  <c r="S36" i="5"/>
  <c r="S35" i="5"/>
  <c r="R35" i="5"/>
  <c r="S34" i="5"/>
  <c r="R34" i="5"/>
  <c r="S33" i="5"/>
  <c r="R33" i="5"/>
  <c r="R32" i="5"/>
  <c r="S32" i="5"/>
  <c r="R31" i="5"/>
  <c r="S31" i="5"/>
  <c r="S30" i="5"/>
  <c r="R30" i="5"/>
  <c r="R29" i="5"/>
  <c r="S29" i="5"/>
  <c r="R28" i="5"/>
  <c r="S28" i="5"/>
  <c r="S27" i="5"/>
  <c r="R27" i="5"/>
  <c r="R26" i="5"/>
  <c r="S26" i="5"/>
  <c r="R25" i="5"/>
  <c r="S25" i="5"/>
  <c r="S24" i="5"/>
  <c r="R24" i="5"/>
  <c r="S23" i="5"/>
  <c r="R23" i="5"/>
  <c r="S22" i="5"/>
  <c r="R22" i="5"/>
  <c r="S21" i="5"/>
  <c r="R21" i="5"/>
  <c r="S20" i="5"/>
  <c r="R20" i="5"/>
  <c r="S19" i="5"/>
  <c r="R19" i="5"/>
  <c r="S16" i="5"/>
  <c r="R16" i="5"/>
  <c r="S15" i="5"/>
  <c r="R15" i="5"/>
  <c r="R12" i="5"/>
  <c r="S12" i="5"/>
  <c r="S11" i="5"/>
  <c r="R11" i="5"/>
  <c r="R10" i="5"/>
  <c r="S10" i="5"/>
  <c r="R9" i="5"/>
  <c r="S9" i="5"/>
  <c r="R8" i="5"/>
  <c r="S8" i="5"/>
  <c r="S7" i="5"/>
  <c r="R7" i="5"/>
  <c r="S6" i="5"/>
  <c r="R6" i="5"/>
  <c r="S5" i="5"/>
  <c r="R5" i="5"/>
  <c r="S4" i="5"/>
  <c r="R4" i="5"/>
</calcChain>
</file>

<file path=xl/sharedStrings.xml><?xml version="1.0" encoding="utf-8"?>
<sst xmlns="http://schemas.openxmlformats.org/spreadsheetml/2006/main" count="7234" uniqueCount="3014">
  <si>
    <t>RowName</t>
  </si>
  <si>
    <t>SkillID</t>
  </si>
  <si>
    <t>DisplayName_KR</t>
  </si>
  <si>
    <t>OwnerClass</t>
  </si>
  <si>
    <t>SkillCategory</t>
  </si>
  <si>
    <t>SkillType</t>
  </si>
  <si>
    <t>SkillTier</t>
  </si>
  <si>
    <t>ActionKind</t>
  </si>
  <si>
    <t>TargetType</t>
  </si>
  <si>
    <t>EnergyCost</t>
  </si>
  <si>
    <t>SkillEnergyCost</t>
  </si>
  <si>
    <t>BaseValue</t>
  </si>
  <si>
    <t>ScalingStat</t>
  </si>
  <si>
    <t>ScalingRatio</t>
  </si>
  <si>
    <t>HitCount</t>
  </si>
  <si>
    <t>SecondaryValue</t>
  </si>
  <si>
    <t>StatusEffect</t>
  </si>
  <si>
    <t>StatusValue</t>
  </si>
  <si>
    <t>StatusDuration</t>
  </si>
  <si>
    <t>SelfDamage</t>
  </si>
  <si>
    <t>IconID</t>
  </si>
  <si>
    <t>AnimMontageTag</t>
  </si>
  <si>
    <t>VFXTag</t>
  </si>
  <si>
    <t>SFXTag</t>
  </si>
  <si>
    <t>Description_KR</t>
  </si>
  <si>
    <t>Notes</t>
  </si>
  <si>
    <t>BuyPrice_Dungeon</t>
  </si>
  <si>
    <t>SellPrice_Dungeon</t>
  </si>
  <si>
    <t>fighter_attack</t>
  </si>
  <si>
    <t>SK_FTR_001</t>
  </si>
  <si>
    <t>공격 태세</t>
  </si>
  <si>
    <t>Fighter</t>
  </si>
  <si>
    <t>Basic</t>
  </si>
  <si>
    <t>Attack</t>
  </si>
  <si>
    <t>Surface</t>
  </si>
  <si>
    <t>HitEnemyMulti</t>
  </si>
  <si>
    <t>SingleEnemy</t>
  </si>
  <si>
    <t>ATK</t>
  </si>
  <si>
    <t>None</t>
  </si>
  <si>
    <t>기본 공격 자세를 취해 적 1명에게 (3+공격)의 피해를 2회 입힌다.</t>
  </si>
  <si>
    <t>fighter_defend</t>
  </si>
  <si>
    <t>SK_FTR_002</t>
  </si>
  <si>
    <t>방어 태세</t>
  </si>
  <si>
    <t>Defense</t>
  </si>
  <si>
    <t>ShieldSelf</t>
  </si>
  <si>
    <t>Self</t>
  </si>
  <si>
    <t>DEF</t>
  </si>
  <si>
    <t>방어 자세를 굳혀 자신에게 (6+방어)의 보호막을 생성한다.</t>
  </si>
  <si>
    <t>fighter_special</t>
  </si>
  <si>
    <t>SK_FTR_003</t>
  </si>
  <si>
    <t>반격 태세</t>
  </si>
  <si>
    <t>Special</t>
  </si>
  <si>
    <t>ShieldSelfCounter</t>
  </si>
  <si>
    <t>Counter</t>
  </si>
  <si>
    <t>반격 자세를 취해 자신에게 (3+방어)의 보호막을 생성하고, 1사이클 동안 (2+방어)의 피해를 돌려주는 반격을 부여한다.</t>
  </si>
  <si>
    <t>StatusValue=1(반격 스택), StatusDuration=1사이클 SecondaryValue = (반격 기본 데미지)</t>
  </si>
  <si>
    <t>engineer_attack</t>
  </si>
  <si>
    <t>SK_ENG_001</t>
  </si>
  <si>
    <t>마도 캐논 발사</t>
  </si>
  <si>
    <t>Engineer</t>
  </si>
  <si>
    <t>HitEnemySingleAoe</t>
  </si>
  <si>
    <t>마도 캐논을 발사하여 적 1명에게 (5+공격)의 피해를 입히고, 적 전체에게 추가로 (2+공격)의 폭발 피해를 입힌다.</t>
  </si>
  <si>
    <t>SecondaryValue=광역 피해 계수(2)</t>
  </si>
  <si>
    <t>engineer_defend</t>
  </si>
  <si>
    <t>SK_ENG_002</t>
  </si>
  <si>
    <t>에너지 쉴드</t>
  </si>
  <si>
    <t>마력 보호막을 전개하여 자신에게 (5+방어)의 보호막을 생성한다.</t>
  </si>
  <si>
    <t>engineer_special</t>
  </si>
  <si>
    <t>SK_ENG_003</t>
  </si>
  <si>
    <t>과부화</t>
  </si>
  <si>
    <t>BraveSelf</t>
  </si>
  <si>
    <t>Brave</t>
  </si>
  <si>
    <t>마도 엔진의 출력을 높여 1사이클 동안 자신의 공격을 1 증가시킨다.</t>
  </si>
  <si>
    <t>paladin_attack</t>
  </si>
  <si>
    <t>SK_PAL_001</t>
  </si>
  <si>
    <t>기본 검술</t>
  </si>
  <si>
    <t>Paladin</t>
  </si>
  <si>
    <t>HitEnemy</t>
  </si>
  <si>
    <t>정석적인 검술로 적 1명을 베어 (5+공격)의 피해를 입힌다.</t>
  </si>
  <si>
    <t>paladin_defend</t>
  </si>
  <si>
    <t>SK_PAL_002</t>
  </si>
  <si>
    <t>기본 방패술</t>
  </si>
  <si>
    <t>방패를 앞세워 자신에게 (6+방어)의 보호막을 생성한다.</t>
  </si>
  <si>
    <t>paladin_special</t>
  </si>
  <si>
    <t>SK_PAL_003</t>
  </si>
  <si>
    <t>회복</t>
  </si>
  <si>
    <t>HealAlly</t>
  </si>
  <si>
    <t>SingleAlly</t>
  </si>
  <si>
    <t>신성력을 불어넣어 아군 1명의 체력을 (3+방어)만큼 회복한다.</t>
  </si>
  <si>
    <t>assassin_attack</t>
  </si>
  <si>
    <t>SK_ASN_001</t>
  </si>
  <si>
    <t>사혈투</t>
  </si>
  <si>
    <t>Assassin</t>
  </si>
  <si>
    <t>HitEnemyMark</t>
  </si>
  <si>
    <t>Mark</t>
  </si>
  <si>
    <t>적 1명의 사혈을 찔러 (5+공격)의 피해를 입히고, 1사이클 동안 급소를 부여한다.</t>
  </si>
  <si>
    <t>기본 공격 무공 (사혈 찌르기) / StatusValue=1(급소 지정 스택), StatusDuration=1사이클</t>
  </si>
  <si>
    <t>assassin_defend</t>
  </si>
  <si>
    <t>SK_ASN_002</t>
  </si>
  <si>
    <t>은형보</t>
  </si>
  <si>
    <t>EvasionSelf</t>
  </si>
  <si>
    <t>Evasion</t>
  </si>
  <si>
    <t>그림자 속에 자취를 감춰 3사이클 동안 자신의 회피를 (1+방어)만큼 증가시킨다.</t>
  </si>
  <si>
    <t>기본 방어 신법 (은형술) / StatusDuration=3사이클</t>
  </si>
  <si>
    <t>assassin_special</t>
  </si>
  <si>
    <t>SK_ASN_003</t>
  </si>
  <si>
    <t>독무탄</t>
  </si>
  <si>
    <t>ShieldSelfPoisonAll</t>
  </si>
  <si>
    <t>AllEnemies</t>
  </si>
  <si>
    <t>Poison</t>
  </si>
  <si>
    <t>독연막탄을 터뜨려 자신에게 (2+방어)의 보호막을 생성하고, 적 전체에게 2사이클 동안 2의 피해를 입히는 중독을 부여한다.</t>
  </si>
  <si>
    <t>기본 특수 암기 (독연막 살포) / StatusValue=2(중독 스택), StatusDuration=2사이클</t>
  </si>
  <si>
    <t>gale_breathing</t>
  </si>
  <si>
    <t>SK_CMN_001</t>
  </si>
  <si>
    <t>질풍 호흡</t>
  </si>
  <si>
    <t>Personal</t>
  </si>
  <si>
    <t>바람처럼 호흡을 가다듬어 2사이클 동안 자신의 공격을 1 증가시킨다.</t>
  </si>
  <si>
    <t>몬스터 방 처치 보상 풀 (표층 - 질풍신각)</t>
  </si>
  <si>
    <t>gale_step</t>
  </si>
  <si>
    <t>SK_CMN_002</t>
  </si>
  <si>
    <t>질풍보</t>
  </si>
  <si>
    <t>바람을 타는 보법으로 1사이클 동안 자신의 회피를 1 증가시킨다.</t>
  </si>
  <si>
    <t>gale_triple_kick</t>
  </si>
  <si>
    <t>SK_CMN_003</t>
  </si>
  <si>
    <t>질풍삼연각</t>
  </si>
  <si>
    <t>질풍 같은 연속 발차기로 적 1명에게 (3+공격)의 피해를 3회 입힌다.</t>
  </si>
  <si>
    <t>armor_breaker_fist</t>
  </si>
  <si>
    <t>SK_CMN_004</t>
  </si>
  <si>
    <t>파갑추</t>
  </si>
  <si>
    <t>HitEnemyLava</t>
  </si>
  <si>
    <t>Lava</t>
  </si>
  <si>
    <t>장갑을 꿰뚫는 정권으로 적 1명에게 (6+공격)의 피해를 입히고, 1사이클 동안 방어가 1 하락하는 허점(용암)을 부여한다.</t>
  </si>
  <si>
    <t>몬스터 방 처치 보상 풀 (표층 - 파천금강권)</t>
  </si>
  <si>
    <t>iron_shirt_stance</t>
  </si>
  <si>
    <t>SK_CMN_005</t>
  </si>
  <si>
    <t>철포삼</t>
  </si>
  <si>
    <t>외공으로 피부를 단련하여 자신에게 (8+방어)의 보호막을 생성한다.</t>
  </si>
  <si>
    <t>aura_guard_strike</t>
  </si>
  <si>
    <t>SK_CMN_006</t>
  </si>
  <si>
    <t>호신강기격</t>
  </si>
  <si>
    <t>HitEnemyShield</t>
  </si>
  <si>
    <t>공격과 동시에 호신강기를 둘러 적 1명에게 (6+공격)의 피해를 입히고, 자신에게 (3+방어)의 보호막을 생성한다.</t>
  </si>
  <si>
    <t>몬스터 방 처치 보상 풀 (표층 - 파천금강권), SecondaryValue = 획득 보호막 수치</t>
  </si>
  <si>
    <t>dantian_breathing</t>
  </si>
  <si>
    <t>SK_CMN_007</t>
  </si>
  <si>
    <t>단전 호흡</t>
  </si>
  <si>
    <t>GainEnergy</t>
  </si>
  <si>
    <t>단전의 기운을 끌어올려 즉시 행동 에너지를 1 회복한다.</t>
  </si>
  <si>
    <t>몬스터 방 처치 보상 풀 (표층 - 태극유수권)</t>
  </si>
  <si>
    <t>qi_circulation_strike</t>
  </si>
  <si>
    <t>SK_CMN_008</t>
  </si>
  <si>
    <t>기혈 순환격</t>
  </si>
  <si>
    <t>HitEnemyHealSelf</t>
  </si>
  <si>
    <t>타격과 함께 기혈을 순환시켜 적 1명에게 (5+공격)의 피해를 입히고, 자신의 체력을 (3+방어)만큼 회복한다.</t>
  </si>
  <si>
    <t>몬스터 방 처치 보상 풀 (표층 - 태극유수권), SecondaryValue = 자가 회복량</t>
  </si>
  <si>
    <t>vitality_qi_flow</t>
  </si>
  <si>
    <t>SK_CMN_009</t>
  </si>
  <si>
    <t>운기조식</t>
  </si>
  <si>
    <t>HealSelfProtect</t>
  </si>
  <si>
    <t>Protection</t>
  </si>
  <si>
    <t>내공으로 호흡을 정돈하여 자신의 체력을 (4+방어)만큼 회복하고, 1사이클 동안 방어가 1 증가하는 견고(가호)를 부여한다.</t>
  </si>
  <si>
    <t>flowing_water_parry</t>
  </si>
  <si>
    <t>SK_CMN_010</t>
  </si>
  <si>
    <t>흘리기</t>
  </si>
  <si>
    <t>적의 공격을 흘려낼 준비를 하여 자신에게 (5+방어)의 보호막을 생성하고, 1사이클 동안 (2+방어)의 피해를 돌려주는 반격을 부여한다.</t>
  </si>
  <si>
    <t>몬스터 방 처치 보상 풀 (표층 - 태극유수권), SecondaryValue = 반격 기본 데미지</t>
  </si>
  <si>
    <t>acupoint_pierce</t>
  </si>
  <si>
    <t>SK_CMN_011</t>
  </si>
  <si>
    <t>혈도 찌르기</t>
  </si>
  <si>
    <t>적 1명의 혈도를 정확히 찔러 (5+공격)의 피해를 입히고, 1사이클 동안 급소를 부여한다.</t>
  </si>
  <si>
    <t>몬스터 방 처치 보상 풀 (표층 - 뇌전점혈수)</t>
  </si>
  <si>
    <t>thunder_whirlwind_kick</t>
  </si>
  <si>
    <t>SK_CMN_012</t>
  </si>
  <si>
    <t>뇌전선풍각</t>
  </si>
  <si>
    <t>HitAllEnemiesMulti</t>
  </si>
  <si>
    <t>번개 같은 회전 발차기로 적 전체에게 (3+공격)의 피해를 2회 입힌다.</t>
  </si>
  <si>
    <t>meridian_disrupt</t>
  </si>
  <si>
    <t>SK_CMN_013</t>
  </si>
  <si>
    <t>경맥 파열</t>
  </si>
  <si>
    <t>HitEnemyInternalInjury</t>
  </si>
  <si>
    <t>InternalInjury</t>
  </si>
  <si>
    <t>적 1명의 경맥에 기운을 침투시켜 (6+공격)의 피해를 입히고, 1사이클 동안 스킬 에너지 사용 시 2 피해를 입는 내상을 부여한다.</t>
  </si>
  <si>
    <t>blood_release</t>
  </si>
  <si>
    <t>SK_CMN_014</t>
  </si>
  <si>
    <t>혈기 해방</t>
  </si>
  <si>
    <t>BraveSelfDmg</t>
  </si>
  <si>
    <t>자신의 체력을 2 소모하여 혈기를 개방하고, 1사이클 동안 자신의 공격을 2 증가시킨다.</t>
  </si>
  <si>
    <t>몬스터 방 처치 보상 풀 (표층 - 혈마광공), SelfDamage=2</t>
  </si>
  <si>
    <t>blood_slash</t>
  </si>
  <si>
    <t>SK_CMN_015</t>
  </si>
  <si>
    <t>혈참</t>
  </si>
  <si>
    <t>HitEnemySelfDmgDrain</t>
  </si>
  <si>
    <t>자신의 체력을 2 소모하여 적 1명에게 혈기를 실은 (8+공격)의 피해를 입히고, 대상의 체력을 깎았다면 체력을 4 회복한다.</t>
  </si>
  <si>
    <t>몬스터 방 처치 보상 풀 (표층 - 혈마광공), SelfDamage=2, SecondaryValue=체력 타격 성공 시 고정 회복량(4)</t>
  </si>
  <si>
    <t>blood_flash</t>
  </si>
  <si>
    <t>SK_CMN_016</t>
  </si>
  <si>
    <t>혈섬</t>
  </si>
  <si>
    <t>HitAllSelfDmgDrain</t>
  </si>
  <si>
    <t>자신의 체력을 3 소모하여 적 전체를 일섬으로 베어 (7+공격)의 피해를 입히고, 체력을 깎은 적 1명당 체력을 2 회복한다.</t>
  </si>
  <si>
    <t>몬스터 방 처치 보상 풀 (표층 - 혈마광공), SelfDamage=3, SecondaryValue=적 1명당 체력 타격 성공 시 고정 회복량(2)</t>
  </si>
  <si>
    <t>blood_burst_strike</t>
  </si>
  <si>
    <t>SK_CMN_017</t>
  </si>
  <si>
    <t>폭혈일격</t>
  </si>
  <si>
    <t>자신의 체력을 4 소모하여 혈기를 폭발시키는 일격으로 적 1명에게 (12+공격)의 피해를 입히고, 대상의 체력을 깎았다면 체력을 6 회복한다.</t>
  </si>
  <si>
    <t>몬스터 방 처치 보상 풀 (표층 - 혈마광공), SelfDamage=4, SecondaryValue=체력 타격 성공 시 고정 회복량(6)</t>
  </si>
  <si>
    <t>storm_fighting_spirit</t>
  </si>
  <si>
    <t>SK_CMN_018</t>
  </si>
  <si>
    <t>폭풍같은 투기</t>
  </si>
  <si>
    <t>Mid</t>
  </si>
  <si>
    <t>폭풍처럼 휘몰아치는 투기를 일으켜 2사이클 동안 자신의 공격을 2 증가시킨다.</t>
  </si>
  <si>
    <t>몬스터 방 처치 보상 풀 (중층 - 질풍신각)</t>
  </si>
  <si>
    <t>sky_walk_step</t>
  </si>
  <si>
    <t>SK_CMN_019</t>
  </si>
  <si>
    <t>허공답보</t>
  </si>
  <si>
    <t>ShieldSelfEvasion</t>
  </si>
  <si>
    <t>허공을 밟는 보법으로 자신에게 (9+방어)의 보호막을 생성하고, 1사이클 동안 회피가 2 증가하는 민첩을 부여한다.</t>
  </si>
  <si>
    <t>storm_quad_kick</t>
  </si>
  <si>
    <t>SK_CMN_020</t>
  </si>
  <si>
    <t>폭풍사연각</t>
  </si>
  <si>
    <t>폭풍처럼 몰아치는 4연속 발차기로 적 1명에게 (4+공격)의 피해를 4회 입힌다.</t>
  </si>
  <si>
    <t>bone_crushing_strike</t>
  </si>
  <si>
    <t>SK_CMN_021</t>
  </si>
  <si>
    <t>쇄골파천</t>
  </si>
  <si>
    <t>뼈를 부수는 일격으로 적 1명에게 (12+공격)의 피해를 입히고, 2사이클 동안 방어가 2 하락하는 허점(용암)을 부여한다.</t>
  </si>
  <si>
    <t>몬스터 방 처치 보상 풀 (중층 - 파천금강권)</t>
  </si>
  <si>
    <t>diamond_body_stance</t>
  </si>
  <si>
    <t>SK_CMN_022</t>
  </si>
  <si>
    <t>금강불괴</t>
  </si>
  <si>
    <t>ShieldSelfSolid</t>
  </si>
  <si>
    <t>Solid</t>
  </si>
  <si>
    <t>금강석처럼 육체를 경화시켜 자신에게 (14+방어)의 보호막을 생성하고, 2사이클 동안 방어를 2 증가시킨다.</t>
  </si>
  <si>
    <t>vajra_shatter_fist</t>
  </si>
  <si>
    <t>SK_CMN_023</t>
  </si>
  <si>
    <t>금강파쇄권</t>
  </si>
  <si>
    <t>강기를 두른 주먹으로 적 1명에게 (11+공격)의 피해를 입히고, 자신에게 (7+방어)의 보호막을 생성한다.</t>
  </si>
  <si>
    <t>몬스터 방 처치 보상 풀 (중층 - 파천금강권), SecondaryValue = 획득 보호막 수치</t>
  </si>
  <si>
    <t>meridian_unlock</t>
  </si>
  <si>
    <t>SK_CMN_024</t>
  </si>
  <si>
    <t>기맥 개방</t>
  </si>
  <si>
    <t>GainEnergyProtectSelf</t>
  </si>
  <si>
    <t>전신의 기맥을 개방하여 즉시 행동 에너지를 1 회복하고, 2사이클 동안 방어가 1 증가하는 견고(가호)를 부여한다.</t>
  </si>
  <si>
    <t>몬스터 방 처치 보상 풀 (중층 - 태극유수권)</t>
  </si>
  <si>
    <t>taiji_revival_fist</t>
  </si>
  <si>
    <t>SK_CMN_025</t>
  </si>
  <si>
    <t>태극회생권</t>
  </si>
  <si>
    <t>태극의 순환지기로 적 1명에게 (10+공격)의 피해를 입히고, 자신의 체력을 (6+방어)만큼 회복한다.</t>
  </si>
  <si>
    <t>몬스터 방 처치 보상 풀 (중층 - 태극유수권), SecondaryValue = 자가 회복량</t>
  </si>
  <si>
    <t>taiji_qi_barrier</t>
  </si>
  <si>
    <t>SK_CMN_026</t>
  </si>
  <si>
    <t>태극기공</t>
  </si>
  <si>
    <t>ShieldSelfAbsorption</t>
  </si>
  <si>
    <t>Absorption</t>
  </si>
  <si>
    <t>부드러운 태극 기공을 펼쳐 자신에게 (11+방어)의 보호막을 생성하고, 1사이클 동안 피격 시 받은 피해의 20%를 회복하는 흡수를 부여한다.</t>
  </si>
  <si>
    <t>taiji_counter_formation</t>
  </si>
  <si>
    <t>SK_CMN_027</t>
  </si>
  <si>
    <t>태극반격진</t>
  </si>
  <si>
    <t>태극 반격진을 펼쳐 자신에게 (11+방어)의 보호막을 생성하고, 1사이클 동안 (4+방어)의 피해를 돌려주는 반격을 부여한다.</t>
  </si>
  <si>
    <t>몬스터 방 처치 보상 풀 (중층 - 태극유수권), SecondaryValue = 반격 기본 데미지</t>
  </si>
  <si>
    <t>death_point_strike</t>
  </si>
  <si>
    <t>SK_CMN_028</t>
  </si>
  <si>
    <t>사혈점 타격</t>
  </si>
  <si>
    <t>적 1명의 사혈점을 타격하여 (13+공격)의 피해를 입히고, 2사이클 동안 급소를 부여한다.</t>
  </si>
  <si>
    <t>몬스터 방 처치 보상 풀 (중층 - 뇌전점혈수)</t>
  </si>
  <si>
    <t>lightning_triple_kick</t>
  </si>
  <si>
    <t>SK_CMN_029</t>
  </si>
  <si>
    <t>뇌격삼연각</t>
  </si>
  <si>
    <t>뇌격을 실은 3연속 발차기로 적 전체에게 (4+공격)의 피해를 3회 입힌다.</t>
  </si>
  <si>
    <t>qi_backflow_strike</t>
  </si>
  <si>
    <t>SK_CMN_030</t>
  </si>
  <si>
    <t>진기 역류</t>
  </si>
  <si>
    <t>적 1명의 체내 진기를 역류시켜 (12+공격)의 피해를 입히고, 2사이클 동안 스킬 에너지 사용 시 3 피해를 입는 내상을 부여한다.</t>
  </si>
  <si>
    <t>blood_vessel_overdrive</t>
  </si>
  <si>
    <t>SK_CMN_031</t>
  </si>
  <si>
    <t>혈맥 폭주</t>
  </si>
  <si>
    <t>자신의 체력을 4 소모하여 혈맥을 폭주시키고, 2사이클 동안 자신의 공격을 3 증가시킨다.</t>
  </si>
  <si>
    <t>몬스터 방 처치 보상 풀 (중층 - 혈마광공), SelfDamage=4</t>
  </si>
  <si>
    <t>blood_storm_dual_strike</t>
  </si>
  <si>
    <t>SK_CMN_032</t>
  </si>
  <si>
    <t>혈풍이연격</t>
  </si>
  <si>
    <t>HitEnemyMultiSelfDmgDrain</t>
  </si>
  <si>
    <t>자신의 체력을 3 소모하여 적 1명에게 (7+공격)의 피해를 2회 입히고, 매 타격이 대상의 체력을 깎을 때마다 체력을 3 회복한다.</t>
  </si>
  <si>
    <t>몬스터 방 처치 보상 풀 (중층 - 혈마광공), SelfDamage=3, SecondaryValue=타격당 체력 타격 성공 시 고정 회복량(3, 최대 6)</t>
  </si>
  <si>
    <t>blood_demon_slash</t>
  </si>
  <si>
    <t>SK_CMN_033</t>
  </si>
  <si>
    <t>혈마참</t>
  </si>
  <si>
    <t>자신의 체력을 4 소모하여 혈기의 참격으로 적 전체에게 (12+공격)의 피해를 입히고, 체력을 깎은 적 1명당 체력을 3 회복한다.</t>
  </si>
  <si>
    <t>몬스터 방 처치 보상 풀 (중층 - 혈마광공), SelfDamage=4, SecondaryValue=적 1명당 체력 타격 성공 시 고정 회복량(3)</t>
  </si>
  <si>
    <t>true_crimson_slash</t>
  </si>
  <si>
    <t>SK_CMN_034</t>
  </si>
  <si>
    <t>진·폭혈참</t>
  </si>
  <si>
    <t>자신의 체력을 6 소모하여 응축된 폭혈의 일격으로 적 1명에게 (22+공격)의 피해를 입히고, 대상의 체력을 깎았다면 체력을 9 회복한다.</t>
  </si>
  <si>
    <t>몬스터 방 처치 보상 풀 (중층 - 혈마광공), SelfDamage=6, SecondaryValue=체력 타격 성공 시 고정 회복량(9)</t>
  </si>
  <si>
    <t>wind_god_descent</t>
  </si>
  <si>
    <t>SK_CMN_035</t>
  </si>
  <si>
    <t>풍신강림</t>
  </si>
  <si>
    <t>Deep</t>
  </si>
  <si>
    <t>바람의 투기를 전신에 둘러 전투 종료 시까지 자신의 공격을 3 증가시킨다.</t>
  </si>
  <si>
    <t>몬스터 방 처치 보상 풀 (심층 - 질풍신각)</t>
  </si>
  <si>
    <t>shadowless_divine_step</t>
  </si>
  <si>
    <t>SK_CMN_036</t>
  </si>
  <si>
    <t>무영신행</t>
  </si>
  <si>
    <t>그림자조차 남기지 않는 신법으로 자신에게 (15+방어)의 보호막을 생성하고, 2사이클 동안 회피가 2 증가하는 민첩을 부여한다.</t>
  </si>
  <si>
    <t>shadowless_penta_kick</t>
  </si>
  <si>
    <t>SK_CMN_037</t>
  </si>
  <si>
    <t>무영오연각</t>
  </si>
  <si>
    <t>잔상을 남기는 5연속 발차기로 적 1명에게 (5+공격)의 피해를 5회 입힌다.</t>
  </si>
  <si>
    <t>diamond_fist</t>
  </si>
  <si>
    <t>SK_CMN_038</t>
  </si>
  <si>
    <t>금강권</t>
  </si>
  <si>
    <t>HitAllEnemiesLavaAll</t>
  </si>
  <si>
    <t>대지를 울리는 금강권으로 적 전체에게 (15+공격)의 피해를 입히고, 2사이클 동안 방어가 2 하락하는 허점(용암)을 부여한다.</t>
  </si>
  <si>
    <t>몬스터 방 처치 보상 풀 (심층 - 파천금강권)</t>
  </si>
  <si>
    <t>immovable_mountain</t>
  </si>
  <si>
    <t>SK_CMN_039</t>
  </si>
  <si>
    <t>태산불동</t>
  </si>
  <si>
    <t>ShieldSelfIronWall</t>
  </si>
  <si>
    <t>IronWall</t>
  </si>
  <si>
    <t>태산처럼 흔들리지 않는 자세로 자신에게 (20+방어)의 보호막을 생성하고, 2사이클 동안 받는 피해가 3 감소하는 철벽을 부여한다.</t>
  </si>
  <si>
    <t>overlord_invincible_fist</t>
  </si>
  <si>
    <t>SK_CMN_040</t>
  </si>
  <si>
    <t>패왕무적권</t>
  </si>
  <si>
    <t>HitEnemyShieldMetal</t>
  </si>
  <si>
    <t>Metal</t>
  </si>
  <si>
    <t>패왕의 권세로 적 1명에게 (17+공격)의 피해를 입히고 (12+방어)의 보호막을 얻은 뒤, 1사이클 동안 받는 피해가 1로 고정되는 강철을 부여한다.</t>
  </si>
  <si>
    <t>몬스터 방 처치 보상 풀 (심층 - 파천금강권), SecondaryValue = 획득 보호막 수치</t>
  </si>
  <si>
    <t>state_of_anatman</t>
  </si>
  <si>
    <t>SK_CMN_041</t>
  </si>
  <si>
    <t>무아지경</t>
  </si>
  <si>
    <t>GainEnergyIndomitableSelf</t>
  </si>
  <si>
    <t>Indomitable</t>
  </si>
  <si>
    <t>무아의 경지에 도달하여 즉시 행동 에너지를 1 회복하고, 2사이클 동안 자신이 받는 모든 피해가 1로 고정되는 불굴을 부여한다.</t>
  </si>
  <si>
    <t>몬스터 방 처치 보상 풀 (심층 - 태극유수권)</t>
  </si>
  <si>
    <t>heaven_earth_circulation</t>
  </si>
  <si>
    <t>SK_CMN_042</t>
  </si>
  <si>
    <t>천지순환장</t>
  </si>
  <si>
    <t>HitAllEnemiesHealSelf</t>
  </si>
  <si>
    <t>천지의 기운을 순환시키는 장법으로 적 전체에게 (16+공격)의 피해를 입히고, 자신의 체력을 (10+방어)만큼 회복한다.</t>
  </si>
  <si>
    <t>몬스터 방 처치 보상 풀 (심층 - 태극유수권), SecondaryValue = 자가 회복량</t>
  </si>
  <si>
    <t>calming_waves_barrier</t>
  </si>
  <si>
    <t>SK_CMN_043</t>
  </si>
  <si>
    <t>만파식적</t>
  </si>
  <si>
    <t>거센 파도를 잠재우는 기공으로 자신에게 (16+방어)의 보호막을 생성하고, 2사이클 동안 피격 시 받은 피해의 30%를 회복하는 흡수를 부여한다.</t>
  </si>
  <si>
    <t>mirror_of_serenity</t>
  </si>
  <si>
    <t>SK_CMN_044</t>
  </si>
  <si>
    <t>명경지수</t>
  </si>
  <si>
    <t>고요한 거울 같은 심법으로 자신에게 (16+방어)의 보호막을 생성하고, 2사이클 동안 (6+방어)의 피해를 돌려주는 반격을 부여한다.</t>
  </si>
  <si>
    <t>몬스터 방 처치 보상 풀 (심층 - 태극유수권), SecondaryValue = 반격 기본 데미지</t>
  </si>
  <si>
    <t>myriad_lightning_acupoint</t>
  </si>
  <si>
    <t>SK_CMN_045</t>
  </si>
  <si>
    <t>뇌전만천혈</t>
  </si>
  <si>
    <t>HitAllEnemiesMark</t>
  </si>
  <si>
    <t>만천의 혈도를 뇌전으로 꿰뚫어 적 전체에게 (14+공격)의 피해를 입히고, 2사이클 동안 급소를 부여한다.</t>
  </si>
  <si>
    <t>몬스터 방 처치 보상 풀 (심층 - 뇌전점혈수)</t>
  </si>
  <si>
    <t>thunder_god_decree</t>
  </si>
  <si>
    <t>SK_CMN_046</t>
  </si>
  <si>
    <t>뇌신율령</t>
  </si>
  <si>
    <t>HitAllEnemiesFearAll</t>
  </si>
  <si>
    <t>Fear</t>
  </si>
  <si>
    <t>뇌신의 기세를 방출하여 적 전체에게 (15+공격)의 피해를 입히고, 2사이클 동안 공포를 부여한다.</t>
  </si>
  <si>
    <t>five_organs_rupture</t>
  </si>
  <si>
    <t>SK_CMN_047</t>
  </si>
  <si>
    <t>격산타우</t>
  </si>
  <si>
    <t>HitAllEnemiesInternalInjuryAll</t>
  </si>
  <si>
    <t>겉을 쳐서 내부를 울리는 격산타우의 내공으로 적 전체에게 (16+공격)의 피해를 입히고, 2사이클 동안 스킬 에너지 사용 시 4 피해를 입는 내상을 부여한다.</t>
  </si>
  <si>
    <t>descent_of_blood_god</t>
  </si>
  <si>
    <t>SK_CMN_048</t>
  </si>
  <si>
    <t>혈신강림</t>
  </si>
  <si>
    <t>자신의 체력을 6 소모하여 혈신의 기운을 받아들이고, 2사이클 동안 자신의 공격을 5 증가시킨다.</t>
  </si>
  <si>
    <t>몬스터 방 처치 보상 풀 (심층 - 혈마광공), SelfDamage=6</t>
  </si>
  <si>
    <t>blood_rain_triple_strike</t>
  </si>
  <si>
    <t>SK_CMN_049</t>
  </si>
  <si>
    <t>혈우삼연격</t>
  </si>
  <si>
    <t>자신의 체력을 5 소모하여 핏빛 비처럼 몰아치는 3연격으로 적 1명에게 (9+공격)의 피해를 3회 입히고, 매 타격이 대상의 체력을 깎을 때마다 체력을 3 회복한다.</t>
  </si>
  <si>
    <t>몬스터 방 처치 보상 풀 (심층 - 혈마광공), SelfDamage=5, SecondaryValue=타격당 체력 타격 성공 시 고정 회복량(3, 최대 9)</t>
  </si>
  <si>
    <t>blooming_blood_sea</t>
  </si>
  <si>
    <t>SK_CMN_050</t>
  </si>
  <si>
    <t>혈해만개</t>
  </si>
  <si>
    <t>자신의 체력을 6 소모하여 피의 바다를 펼쳐 적 전체에게 (18+공격)의 피해를 입히고, 체력을 깎은 적 1명당 체력을 4 회복한다.</t>
  </si>
  <si>
    <t>몬스터 방 처치 보상 풀 (심층 - 혈마광공), SelfDamage=6, SecondaryValue=적 1명당 체력 타격 성공 시 고정 회복량(4)</t>
  </si>
  <si>
    <t>heavenly_demon_blood_palm</t>
  </si>
  <si>
    <t>SK_CMN_051</t>
  </si>
  <si>
    <t>천마멸혈장</t>
  </si>
  <si>
    <t>자신의 체력을 10 소모하여 혈기를 응축한 장법으로 적 1명에게 (36+공격)의 피해를 입히고, 대상의 체력을 깎았다면 체력을 14 회복한다.</t>
  </si>
  <si>
    <t>몬스터 방 처치 보상 풀 (심층 - 혈마광공), SelfDamage=10, SecondaryValue=체력 타격 성공 시 고정 회복량(14)</t>
  </si>
  <si>
    <t>high_explosive_cannon</t>
  </si>
  <si>
    <t>SK_CMN_201</t>
  </si>
  <si>
    <t>고폭 캐논 발사</t>
  </si>
  <si>
    <t>고폭탄을 발사하여 적 1명에게 (6+공격)의 피해를 입히고, 적 전체에게 추가로 (3+공격)의 폭발 피해를 입힌다.</t>
  </si>
  <si>
    <t>몬스터 방 처치 보상 풀 (표층 - 마도 캐논), SecondaryValue=광역 피해 계수(3)</t>
  </si>
  <si>
    <t>armor_piercing_shell</t>
  </si>
  <si>
    <t>SK_CMN_202</t>
  </si>
  <si>
    <t>철갑 관통포</t>
  </si>
  <si>
    <t>HitEnemySingleAoeLava</t>
  </si>
  <si>
    <t>철갑탄을 발사하여 적 1명에게 (5+공격)의 피해와 1사이클 동안 허점(용암) 1을 부여하고, 적 전체에게 추가로 (2+공격)의 피해를 입힌다.</t>
  </si>
  <si>
    <t>몬스터 방 처치 보상 풀 (표층 - 마도 캐논), SecondaryValue=광역 피해 계수(2)</t>
  </si>
  <si>
    <t>recoil_absorption_shot</t>
  </si>
  <si>
    <t>SK_CMN_203</t>
  </si>
  <si>
    <t>반동 제어 사격</t>
  </si>
  <si>
    <t>포격 반동을 방어 에너지로 전환하여 적 1명에게 (6+공격)의 피해를 입히고, 자신에게 (3+방어)의 보호막을 생성한다.</t>
  </si>
  <si>
    <t>몬스터 방 처치 보상 풀 (표층 - 마도 캐논), SecondaryValue=획득 보호막 수치(3)</t>
  </si>
  <si>
    <t>cluster_grenade</t>
  </si>
  <si>
    <t>SK_CMN_204</t>
  </si>
  <si>
    <t>확산 세열탄</t>
  </si>
  <si>
    <t>세열 파편이 퍼지는 폭탄을 투척하여 적 전체에게 (3+공격)의 피해를 2회 입힌다.</t>
  </si>
  <si>
    <t>몬스터 방 처치 보상 풀 (표층 - 마도 폭탄)</t>
  </si>
  <si>
    <t>napalm_bomb</t>
  </si>
  <si>
    <t>SK_CMN_205</t>
  </si>
  <si>
    <t>소이 폭탄 투척</t>
  </si>
  <si>
    <t>소이탄을 투척하여 적 전체에게 (4+공격)의 피해를 입히고, 1사이클 동안 방어가 1 하락하는 허점(용암)을 부여한다.</t>
  </si>
  <si>
    <t>cryo_gas_bomb</t>
  </si>
  <si>
    <t>SK_CMN_206</t>
  </si>
  <si>
    <t>냉각 가스탄</t>
  </si>
  <si>
    <t>HitAllEnemiesIceAll</t>
  </si>
  <si>
    <t>Ice</t>
  </si>
  <si>
    <t>냉각 가스탄을 터뜨려 적 전체에게 (4+공격)의 피해를 입히고, 1사이클 동안 공격이 1 하락하는 허약(얼음)을 부여한다.</t>
  </si>
  <si>
    <t>target_lock_beam</t>
  </si>
  <si>
    <t>SK_CMN_207</t>
  </si>
  <si>
    <t>타겟팅 레이저</t>
  </si>
  <si>
    <t>StatusMarkAll</t>
  </si>
  <si>
    <t>표적 조준 레이저를 비추어 1사이클 동안 적 전체에게 급소를 부여한다.</t>
  </si>
  <si>
    <t>몬스터 방 처치 보상 풀 (표층 - 마도 역장)</t>
  </si>
  <si>
    <t>gravity_jammer</t>
  </si>
  <si>
    <t>SK_CMN_208</t>
  </si>
  <si>
    <t>중력 교란장</t>
  </si>
  <si>
    <t>StatusAcidAll</t>
  </si>
  <si>
    <t>Acid</t>
  </si>
  <si>
    <t>중력 교란 역장을 전개하여 1사이클 동안 적 전체에게 과욕(산성) 1을 부여한다.</t>
  </si>
  <si>
    <t>electromagnetic_barrier</t>
  </si>
  <si>
    <t>SK_CMN_209</t>
  </si>
  <si>
    <t>전자기 방어막</t>
  </si>
  <si>
    <t>전자기 방어막을 둘러 자신에게 (5+방어)의 보호막을 생성하고, 1사이클 동안 피격 시 (2+방어)의 전류 피해를 돌려주는 반격을 부여한다.</t>
  </si>
  <si>
    <t>몬스터 방 처치 보상 풀 (표층 - 마도 역장), SecondaryValue=반격 기본 데미지(2)</t>
  </si>
  <si>
    <t>mana_battery_charge</t>
  </si>
  <si>
    <t>SK_CMN_210</t>
  </si>
  <si>
    <t>마력 배터리 충전</t>
  </si>
  <si>
    <t>예비 마력 배터리를 가동하여 즉시 행동 에너지를 1 회복한다.</t>
  </si>
  <si>
    <t>몬스터 방 처치 보상 풀 (표층 - 마도 코어)</t>
  </si>
  <si>
    <t>alloy_plating</t>
  </si>
  <si>
    <t>SK_CMN_211</t>
  </si>
  <si>
    <t>합금 장갑 도포</t>
  </si>
  <si>
    <t>외장 합금 장갑을 덧대어 자신에게 (6+방어)의 보호막을 생성하고, 2사이클 동안 방어가 1 증가하는 견고를 부여한다.</t>
  </si>
  <si>
    <t>limit_overdrive</t>
  </si>
  <si>
    <t>SK_CMN_212</t>
  </si>
  <si>
    <t>리미트 해제</t>
  </si>
  <si>
    <t>마도 코어의 안전장치를 해제하여 체력을 2 소모하고, 1사이클 동안 자신의 공격을 2 증가시킨다.</t>
  </si>
  <si>
    <t>몬스터 방 처치 보상 풀 (표층 - 마도 코어), SelfDamage=2</t>
  </si>
  <si>
    <t>auto_gatling_drone</t>
  </si>
  <si>
    <t>SK_CMN_213</t>
  </si>
  <si>
    <t>기관포 드론 사출</t>
  </si>
  <si>
    <t>기관포 드론을 사출하여 적 1명에게 (3+공격)의 피해를 3회 입힌다.</t>
  </si>
  <si>
    <t>몬스터 방 처치 보상 풀 (표층 - 마도 병기)</t>
  </si>
  <si>
    <t>pulse_shock_ray</t>
  </si>
  <si>
    <t>SK_CMN_214</t>
  </si>
  <si>
    <t>펄스 충격파</t>
  </si>
  <si>
    <t>펄스 충격파를 발사하여 적 1명에게 (6+공격)의 피해를 입히고, 1사이클 동안 스킬 에너지 사용 시 2 피해를 입는 내상을 부여한다.</t>
  </si>
  <si>
    <t>repair_nanobot_beam</t>
  </si>
  <si>
    <t>SK_CMN_215</t>
  </si>
  <si>
    <t>수리 드론 가동</t>
  </si>
  <si>
    <t>수리 드론을 가동하여 적 1명에게 (5+공격)의 피해를 입히고, 자신의 체력을 (3+방어)만큼 회복한다.</t>
  </si>
  <si>
    <t>몬스터 방 처치 보상 풀 (표층 - 마도 병기), SecondaryValue=자가 회복량(3)</t>
  </si>
  <si>
    <t>plasma_siege_cannon</t>
  </si>
  <si>
    <t>SK_CMN_216</t>
  </si>
  <si>
    <t>플라즈마 공성포</t>
  </si>
  <si>
    <t>플라즈마 공성포를 발사하여 적 1명에게 (10+공격)의 피해를 입히고, 적 전체에게 추가로 (5+공격)의 플라즈마 폭발 피해를 입힌다.</t>
  </si>
  <si>
    <t>몬스터 방 처치 보상 풀 (중층 - 마도 캐논), SecondaryValue=광역 피해 계수(5)</t>
  </si>
  <si>
    <t>guided_buster_cannon</t>
  </si>
  <si>
    <t>SK_CMN_217</t>
  </si>
  <si>
    <t>유도 파쇄포</t>
  </si>
  <si>
    <t>HitEnemySingleAoeMark</t>
  </si>
  <si>
    <t>유도 파쇄탄을 발사하여 적 1명에게 (9+공격)의 피해와 2사이클 동안 급소를 부여하고, 적 전체에게 추가로 (4+공격)의 피해를 입힌다.</t>
  </si>
  <si>
    <t>몬스터 방 처치 보상 풀 (중층 - 마도 캐논), SecondaryValue=광역 피해 계수(4)</t>
  </si>
  <si>
    <t>fortress_artillery</t>
  </si>
  <si>
    <t>SK_CMN_218</t>
  </si>
  <si>
    <t>요새포 사격</t>
  </si>
  <si>
    <t>HitAllEnemiesShield</t>
  </si>
  <si>
    <t>요새포로 적 전체에게 (9+공격)의 포격 피해를 입히고, 포탑 장갑을 전개하여 자신에게 (7+방어)의 보호막을 생성한다.</t>
  </si>
  <si>
    <t>몬스터 방 처치 보상 풀 (중층 - 마도 캐논), SecondaryValue=획득 보호막 수치(7)</t>
  </si>
  <si>
    <t>carpet_bombing</t>
  </si>
  <si>
    <t>SK_CMN_219</t>
  </si>
  <si>
    <t>융단 폭격</t>
  </si>
  <si>
    <t>전장에 마도 폭탄을 연속 투하하여 적 전체에게 (4+공격)의 피해를 3회 입힌다.</t>
  </si>
  <si>
    <t>몬스터 방 처치 보상 풀 (중층 - 마도 폭탄)</t>
  </si>
  <si>
    <t>thermobaric_bomb</t>
  </si>
  <si>
    <t>SK_CMN_220</t>
  </si>
  <si>
    <t>열압력 융해탄</t>
  </si>
  <si>
    <t>열압력 융해탄을 터뜨려 적 전체에게 (10+공격)의 피해를 입히고, 2사이클 동안 방어가 2 하락하는 허점(용암)을 부여한다.</t>
  </si>
  <si>
    <t>choking_toxin_bomb</t>
  </si>
  <si>
    <t>SK_CMN_221</t>
  </si>
  <si>
    <t>맹독 신경탄</t>
  </si>
  <si>
    <t>HitAllEnemiesPoisonAll</t>
  </si>
  <si>
    <t>신경 독가스탄을 투척하여 적 전체에게 (8+공격)의 피해를 입히고, 2사이클 동안 매 턴 4 피해를 입히는 중독을 부여한다.</t>
  </si>
  <si>
    <t>emp_blackout_field</t>
  </si>
  <si>
    <t>SK_CMN_222</t>
  </si>
  <si>
    <t>EMP 충격장</t>
  </si>
  <si>
    <t>EMP 충격장을 터뜨려 적 전체에게 (9+공격)의 전자기 피해를 입히고, 2사이클 동안 스킬 에너지 사용 시 3 피해를 입는 내상을 부여한다.</t>
  </si>
  <si>
    <t>몬스터 방 처치 보상 풀 (중층 - 마도 역장)</t>
  </si>
  <si>
    <t>stasis_suppression_field</t>
  </si>
  <si>
    <t>SK_CMN_223</t>
  </si>
  <si>
    <t>중력 감속장</t>
  </si>
  <si>
    <t>중력 감속장을 전개하여 적 전체에게 (9+공격)의 피해를 입히고, 2사이클 동안 공포를 부여한다.</t>
  </si>
  <si>
    <t>aegis_dome_projector</t>
  </si>
  <si>
    <t>SK_CMN_224</t>
  </si>
  <si>
    <t>이지스 돔 전개</t>
  </si>
  <si>
    <t>ShieldAllSolidAll</t>
  </si>
  <si>
    <t>AllAllies</t>
  </si>
  <si>
    <t>이지스 방어 돔을 전개하여 아군 전체에게 (8+방어)의 보호막을 생성하고, 2사이클 동안 방어를 1 증가시킨다.</t>
  </si>
  <si>
    <t>dual_core_boost</t>
  </si>
  <si>
    <t>SK_CMN_225</t>
  </si>
  <si>
    <t>듀얼 코어 가동</t>
  </si>
  <si>
    <t>GainEnergyBraveSelf</t>
  </si>
  <si>
    <t>듀얼 코어를 가동하여 즉시 행동 에너지를 1 회복하고, 2사이클 동안 자신의 공격을 2 증가시킨다.</t>
  </si>
  <si>
    <t>몬스터 방 처치 보상 풀 (중층 - 마도 코어)</t>
  </si>
  <si>
    <t>reactive_armor_module</t>
  </si>
  <si>
    <t>SK_CMN_226</t>
  </si>
  <si>
    <t>반응형 장갑 전개</t>
  </si>
  <si>
    <t>반응형 장갑을 전개하여 자신에게 (12+방어)의 보호막을 생성하고, 1사이클 동안 피격 시 (4+방어)의 폭발 피해를 돌려주는 반격을 부여한다.</t>
  </si>
  <si>
    <t>몬스터 방 처치 보상 풀 (중층 - 마도 코어), SecondaryValue=반격 기본 데미지(4)</t>
  </si>
  <si>
    <t>tactical_command_link</t>
  </si>
  <si>
    <t>SK_CMN_227</t>
  </si>
  <si>
    <t>전술 화력 링크</t>
  </si>
  <si>
    <t>BraveAllSolidAll</t>
  </si>
  <si>
    <t>전술 통신망을 연결하여 2사이클 동안 아군 전체의 공격과 방어를 2 증가시킨다.</t>
  </si>
  <si>
    <t>railgun_snipe</t>
  </si>
  <si>
    <t>SK_CMN_228</t>
  </si>
  <si>
    <t>전자기 레일건</t>
  </si>
  <si>
    <t>전자기 레일건을 발사하여 적 1명에게 (14+공격)의 관통 피해를 입히고, 2사이클 동안 급소를 부여한다.</t>
  </si>
  <si>
    <t>몬스터 방 처치 보상 풀 (중층 - 마도 병기)</t>
  </si>
  <si>
    <t>energy_siphon_converter</t>
  </si>
  <si>
    <t>SK_CMN_229</t>
  </si>
  <si>
    <t>생체 에너지 변환기</t>
  </si>
  <si>
    <t>생체 에너지 변환기를 가동하여 자신에게 (12+방어)의 보호막을 생성하고, 1사이클 동안 피격 시 받은 피해의 20%를 회복하는 흡수를 부여한다.</t>
  </si>
  <si>
    <t>overheat_discharge_cannon</t>
  </si>
  <si>
    <t>SK_CMN_230</t>
  </si>
  <si>
    <t>과열 방열포</t>
  </si>
  <si>
    <t>HitEnemySelfDmg</t>
  </si>
  <si>
    <t>마도포의 열기를 방출하여 적 1명에게 (19+공격)의 피해를 입히고, 과열 반동으로 자신은 4 피해를 받는다.</t>
  </si>
  <si>
    <t>몬스터 방 처치 보상 풀 (중층 - 마도 병기), SelfDamage=4</t>
  </si>
  <si>
    <t>hyperion_buster_cannon</t>
  </si>
  <si>
    <t>SK_CMN_231</t>
  </si>
  <si>
    <t>하이페리온 마도포</t>
  </si>
  <si>
    <t>하이페리온 마도포를 발사하여 적 1명에게 (16+공격)의 직격 피해를 입히고, 적 전체에게 추가로 (9+공격)의 폭발 피해를 입힌다.</t>
  </si>
  <si>
    <t>몬스터 방 처치 보상 풀 (심층 - 마도 캐논), SecondaryValue=광역 피해 계수(9)</t>
  </si>
  <si>
    <t>antimatter_annihilator</t>
  </si>
  <si>
    <t>SK_CMN_232</t>
  </si>
  <si>
    <t>반물질 소멸포</t>
  </si>
  <si>
    <t>반물질 탄두를 발사하여 적 1명에게 (14+공격)의 피해를 입히고, 적 전체에 (8+공격)의 추가 피해와 2사이클 동안 허점(용암) 2를 부여한다.</t>
  </si>
  <si>
    <t>몬스터 방 처치 보상 풀 (심층 - 마도 캐논), SecondaryValue=광역 피해 계수(8)</t>
  </si>
  <si>
    <t>dreadnought_fortress_cannon</t>
  </si>
  <si>
    <t>SK_CMN_233</t>
  </si>
  <si>
    <t>드레드노트 주포</t>
  </si>
  <si>
    <t>HitAllEnemiesShieldMetal</t>
  </si>
  <si>
    <t>드레드노트 주포로 적 전체에게 (15+공격)의 포격 피해를 입히고 (12+방어)의 보호막을 얻은 뒤, 1사이클 동안 받는 피해가 1로 고정되는 강철을 부여한다.</t>
  </si>
  <si>
    <t>몬스터 방 처치 보상 풀 (심층 - 마도 캐논), SecondaryValue=획득 보호막 수치(12)</t>
  </si>
  <si>
    <t>orbital_satellite_bombard</t>
  </si>
  <si>
    <t>SK_CMN_234</t>
  </si>
  <si>
    <t>궤도 위성 폭격</t>
  </si>
  <si>
    <t>마도 위성에 폭격 좌표를 전송하여 적 전체에게 (5+공격)의 피해를 4회 입힌다.</t>
  </si>
  <si>
    <t>몬스터 방 처치 보상 풀 (심층 - 마도 폭탄)</t>
  </si>
  <si>
    <t>chaos_elemental_warhead</t>
  </si>
  <si>
    <t>SK_CMN_235</t>
  </si>
  <si>
    <t>원소 융합 탄두</t>
  </si>
  <si>
    <t>HitAllEnemiesFusionAll</t>
  </si>
  <si>
    <t>Fusion</t>
  </si>
  <si>
    <t>원소 융합 탄두를 폭발시켜 적 전체에게 (16+공격)의 피해를 입히고, 2사이클 동안 퓨전 3을 부여한다.</t>
  </si>
  <si>
    <t>supernova_cataclysm_bomb</t>
  </si>
  <si>
    <t>SK_CMN_236</t>
  </si>
  <si>
    <t>초신성 연쇄 폭탄</t>
  </si>
  <si>
    <t>초신성 연쇄 폭탄을 기폭시켜 적 전체에게 (16+공격)의 피해를 입히고, 2사이클 동안 급소를 부여한다.</t>
  </si>
  <si>
    <t>singularity_blackhole</t>
  </si>
  <si>
    <t>SK_CMN_237</t>
  </si>
  <si>
    <t>특이점 블랙홀 역장</t>
  </si>
  <si>
    <t>특이점 블랙홀 역장을 생성하여 적 전체에게 (16+공격)의 피해를 입히고, 2사이클 동안 공포를 부여한다.</t>
  </si>
  <si>
    <t>몬스터 방 처치 보상 풀 (심층 - 마도 역장)</t>
  </si>
  <si>
    <t>absolute_zero_field</t>
  </si>
  <si>
    <t>SK_CMN_238</t>
  </si>
  <si>
    <t>절대영도 냉각장</t>
  </si>
  <si>
    <t>절대영도 냉각장을 펼쳐 적 전체에게 (15+공격)의 냉기 피해를 입히고, 2사이클 동안 공격이 3 하락하는 허약(얼음)을 부여한다.</t>
  </si>
  <si>
    <t>citadel_force_matrix</t>
  </si>
  <si>
    <t>SK_CMN_239</t>
  </si>
  <si>
    <t>절대 방어 매트릭스</t>
  </si>
  <si>
    <t>다중 방어 매트릭스를 전개하여 자신에게 (20+방어)의 보호막을 생성하고, 2사이클 동안 받는 피해가 3 감소하는 철벽을 부여한다.</t>
  </si>
  <si>
    <t>perpetual_ether_engine</t>
  </si>
  <si>
    <t>SK_CMN_240</t>
  </si>
  <si>
    <t>영구 마력 기관 가동</t>
  </si>
  <si>
    <t>영구 마력 기관을 가동하여 전투 종료 시까지 아군 전체의 공격과 방어를 3 증가시킨다.</t>
  </si>
  <si>
    <t>몬스터 방 처치 보상 풀 (심층 - 마도 코어)</t>
  </si>
  <si>
    <t>phase_shift_matrix</t>
  </si>
  <si>
    <t>SK_CMN_241</t>
  </si>
  <si>
    <t>차원 도약 코어</t>
  </si>
  <si>
    <t>차원 도약 코어를 가동하여 즉시 행동 에너지를 1 회복하고, 2사이클 동안 받는 모든 피해가 1로 고정되는 불굴을 부여한다.</t>
  </si>
  <si>
    <t>nanobot_sanctuary_matrix</t>
  </si>
  <si>
    <t>SK_CMN_242</t>
  </si>
  <si>
    <t>나노 수복 매트릭스</t>
  </si>
  <si>
    <t>HealAllBraveAll</t>
  </si>
  <si>
    <t>수복 나노봇을 살포하여 아군 전체의 체력을 (10+방어)만큼 회복하고, 2사이클 동안 공격을 2 증가시킨다.</t>
  </si>
  <si>
    <t>omega_mecha_barrage</t>
  </si>
  <si>
    <t>SK_CMN_243</t>
  </si>
  <si>
    <t>오메가 자율 기갑병</t>
  </si>
  <si>
    <t>오메가 자율 기갑병을 호출하여 적 1명에게 (6+공격)의 피해를 4회 입힌다.</t>
  </si>
  <si>
    <t>몬스터 방 처치 보상 풀 (심층 - 마도 병기)</t>
  </si>
  <si>
    <t>aether_siphon_laser</t>
  </si>
  <si>
    <t>SK_CMN_244</t>
  </si>
  <si>
    <t>에테르 흡수 광선</t>
  </si>
  <si>
    <t>에테르 흡수 광선을 발사하여 적 전체에게 (16+공격)의 피해를 입히고, 회수한 에너지로 자신의 체력을 (10+방어)만큼 회복한다.</t>
  </si>
  <si>
    <t>몬스터 방 처치 보상 풀 (심층 - 마도 병기), SecondaryValue=자가 회복량(10)</t>
  </si>
  <si>
    <t>meltdown_core_blast</t>
  </si>
  <si>
    <t>SK_CMN_245</t>
  </si>
  <si>
    <t>코어 멜트다운 폭발</t>
  </si>
  <si>
    <t>마도 코어를 융해 폭발시켜 자신의 체력을 6 소모하고 적 전체에게 (24+공격)의 피해를 입힌 뒤, 체력을 깎은 적 1명당 체력을 4 회복한다.</t>
  </si>
  <si>
    <t>몬스터 방 처치 보상 풀 (심층 - 마도 병기), SelfDamage=6, SecondaryValue=적 1명당 체력 타격 성공 시 고정 회복량(4)</t>
  </si>
  <si>
    <t>aura_of_valor</t>
  </si>
  <si>
    <t>SK_CMN_301</t>
  </si>
  <si>
    <t>용기의 오라</t>
  </si>
  <si>
    <t>BraveAll</t>
  </si>
  <si>
    <t>용기의 오라를 펼쳐 1사이클 동안 아군 전체의 공격을 1 증가시킨다.</t>
  </si>
  <si>
    <t>몬스터 방 처치 보상 풀. 스킬에너지로 사용</t>
  </si>
  <si>
    <t>double_attack</t>
  </si>
  <si>
    <t>SK_CMN_302</t>
  </si>
  <si>
    <t>2단 베기</t>
  </si>
  <si>
    <t>검을 연속으로 휘둘러 적 1명에게 (4+공격)의 피해를 2회 입힌다.</t>
  </si>
  <si>
    <t>몬스터 방 처치 보상 풀</t>
  </si>
  <si>
    <t>healing_light</t>
  </si>
  <si>
    <t>SK_CMN_303</t>
  </si>
  <si>
    <t>치유의 빛</t>
  </si>
  <si>
    <t>HealAll</t>
  </si>
  <si>
    <t>치유의 빛을 내려 아군 전체의 체력을 (2+방어)만큼 회복한다.</t>
  </si>
  <si>
    <t>ironclad_faith</t>
  </si>
  <si>
    <t>SK_CMN_304</t>
  </si>
  <si>
    <t>철벽의 신앙</t>
  </si>
  <si>
    <t>굳건한 신앙심으로 무장하여 자신에게 (8+방어)의 보호막을 생성한다.</t>
  </si>
  <si>
    <t>holy_charge</t>
  </si>
  <si>
    <t>SK_CMN_305</t>
  </si>
  <si>
    <t>성스러운 돌진</t>
  </si>
  <si>
    <t>신성력을 두르고 돌진하여 적 1명에게 (7+공격)의 피해를 입힌다.</t>
  </si>
  <si>
    <t>몬스터 방 처치 보상 풀.</t>
  </si>
  <si>
    <t>sanctuary</t>
  </si>
  <si>
    <t>SK_CMN_306</t>
  </si>
  <si>
    <t>수호의 성역</t>
  </si>
  <si>
    <t>ShieldAll</t>
  </si>
  <si>
    <t>수호의 성역을 전개하여 아군 전체에게 (4+방어)의 보호막을 생성한다.</t>
  </si>
  <si>
    <t>holy_smite</t>
  </si>
  <si>
    <t>SK_CMN_307</t>
  </si>
  <si>
    <t>신성 강타</t>
  </si>
  <si>
    <t>체력을 소모해 신성력을 폭발시켜 적 1명에게 (10+공격)의 피해를 입히고, 자신은 3 피해를 받는다.</t>
  </si>
  <si>
    <t>몬스터 방 처치 보상 풀. SelfDamage=3</t>
  </si>
  <si>
    <t>god_bless</t>
  </si>
  <si>
    <t>SK_CMN_308</t>
  </si>
  <si>
    <t>신의 축복</t>
  </si>
  <si>
    <t>신의 축복을 받아 즉시 행동 에너지를 1 회복한다.</t>
  </si>
  <si>
    <t>arc_of_purification</t>
  </si>
  <si>
    <t>SK_CMN_309</t>
  </si>
  <si>
    <t>정화의 검</t>
  </si>
  <si>
    <t>HitAllEnemies</t>
  </si>
  <si>
    <t>정화의 빛이 깃든 검을 휘둘러 적 전체에게 (5+공격)의 피해를 입힌다.</t>
  </si>
  <si>
    <t>holy_shield</t>
  </si>
  <si>
    <t>SK_CMN_310</t>
  </si>
  <si>
    <t>신성 방패</t>
  </si>
  <si>
    <t>신성 방패를 들어 자신에게 (5+방어)의 보호막을 생성하고, 1사이클 동안 (2+방어)의 피해를 돌려주는 반격을 부여한다.</t>
  </si>
  <si>
    <t>몬스터 방 처치 보상 풀, SecondaryValue = (반격 기본 데미지)</t>
  </si>
  <si>
    <t>steadfast_blow</t>
  </si>
  <si>
    <t>SK_CMN_311</t>
  </si>
  <si>
    <t>견고한 일격</t>
  </si>
  <si>
    <t>방패와 검을 함께 운용하여 적 1명에게 (6+공격)의 피해를 입히고, 자신에게 (3+방어)의 보호막을 생성한다.</t>
  </si>
  <si>
    <t>몬스터 방 처치 보상 풀, 
SecondaryValue = (획득 보호막 수치)</t>
  </si>
  <si>
    <t>radiant_strike</t>
  </si>
  <si>
    <t>SK_CMN_312</t>
  </si>
  <si>
    <t>성광의 일격</t>
  </si>
  <si>
    <t>성스러운 빛을 실은 일격으로 적 1명에게 (5+공격)의 피해를 입히고, 자신의 체력을 (3+방어)만큼 회복한다.</t>
  </si>
  <si>
    <t>몬스터 방 처치 보상 풀 (표층 - 성광 타격/자힐), SecondaryValue = 자가 회복량(3)</t>
  </si>
  <si>
    <t>prayer_of_protection</t>
  </si>
  <si>
    <t>SK_CMN_313</t>
  </si>
  <si>
    <t>수호의 기도</t>
  </si>
  <si>
    <t>SolidAll</t>
  </si>
  <si>
    <t>수호의 기도를 올려 2사이클 동안 아군 전체의 방어를 1 증가시킨다.</t>
  </si>
  <si>
    <t>몬스터 방 처치 보상 풀 (표층 - 광역 방어 버프)</t>
  </si>
  <si>
    <t>consecrated_shield</t>
  </si>
  <si>
    <t>SK_CMN_314</t>
  </si>
  <si>
    <t>축성의 방패</t>
  </si>
  <si>
    <t>ShieldSelfProtect</t>
  </si>
  <si>
    <t>방패에 축성을 부여하여 자신에게 (6+방어)의 보호막을 생성하고, 1사이클 동안 방어가 1 증가하는 견고(가호)를 부여한다.</t>
  </si>
  <si>
    <t>몬스터 방 처치 보상 풀 (표층 - 보호막/가호)</t>
  </si>
  <si>
    <t>light_of_penance</t>
  </si>
  <si>
    <t>SK_CMN_315</t>
  </si>
  <si>
    <t>참회의 빛</t>
  </si>
  <si>
    <t>참회의 빛을 비추어 적 전체에게 (4+공격)의 피해를 입히고, 1사이클 동안 공격이 1 하락하는 허약(얼음)을 부여한다.</t>
  </si>
  <si>
    <t>몬스터 방 처치 보상 풀 (표층 - 광역 약화)</t>
  </si>
  <si>
    <t>war_cry_of_valor</t>
  </si>
  <si>
    <t>SK_CMN_316</t>
  </si>
  <si>
    <t>용맹의 함성</t>
  </si>
  <si>
    <t>용맹한 함성을 외쳐 2사이클 동안 아군 전체의 공격을 2 증가시킨다.</t>
  </si>
  <si>
    <t>몬스터 방 처치 보상 풀 (중층). 스킬에너지로 사용</t>
  </si>
  <si>
    <t>triple_slash</t>
  </si>
  <si>
    <t>SK_CMN_317</t>
  </si>
  <si>
    <t>3단 베기</t>
  </si>
  <si>
    <t>검을 세 번 연속 휘둘러 적 1명에게 (5+공격)의 피해를 3회 입힌다.</t>
  </si>
  <si>
    <t>몬스터 방 처치 보상 풀 (중층)</t>
  </si>
  <si>
    <t>blessed_wave</t>
  </si>
  <si>
    <t>SK_CMN_318</t>
  </si>
  <si>
    <t>축복의 파동</t>
  </si>
  <si>
    <t>축복의 파동을 퍼뜨려 아군 전체의 체력을 (6+방어)만큼 회복하고, 2사이클 동안 공격을 1 증가시킨다.</t>
  </si>
  <si>
    <t>bastion_of_faith</t>
  </si>
  <si>
    <t>SK_CMN_319</t>
  </si>
  <si>
    <t>불패의 신앙</t>
  </si>
  <si>
    <t>흔들리지 않는 신앙의 힘으로 자신에게 (14+방어)의 보호막을 생성하고, 2사이클 동안 방어를 2 증가시킨다.</t>
  </si>
  <si>
    <t>verdict_of_conviction</t>
  </si>
  <si>
    <t>SK_CMN_320</t>
  </si>
  <si>
    <t>단죄의 일격</t>
  </si>
  <si>
    <t>단죄의 검을 내려쳐 적 1명에게 (13+공격)의 피해를 입히고, 2사이클 동안 급소를 부여한다.</t>
  </si>
  <si>
    <t>aegis_of_protection</t>
  </si>
  <si>
    <t>SK_CMN_321</t>
  </si>
  <si>
    <t>수호의 방벽</t>
  </si>
  <si>
    <t>성스러운 방벽을 세워 아군 전체에게 (9+방어)의 보호막을 생성한다.</t>
  </si>
  <si>
    <t>martyrs_strike</t>
  </si>
  <si>
    <t>SK_CMN_322</t>
  </si>
  <si>
    <t>순교자의 일격</t>
  </si>
  <si>
    <t>순교를 각오한 일격으로 적 1명에게 (18+공격)의 피해를 입히고, 자신은 4 피해를 받는다.</t>
  </si>
  <si>
    <t>몬스터 방 처치 보상 풀 (중층). SelfDamage=4</t>
  </si>
  <si>
    <t>divine_grace</t>
  </si>
  <si>
    <t>SK_CMN_323</t>
  </si>
  <si>
    <t>성령의 은총</t>
  </si>
  <si>
    <t>성령의 은총을 받아 즉시 행동 에너지를 2 회복한다.</t>
  </si>
  <si>
    <t>sword_of_judgment</t>
  </si>
  <si>
    <t>SK_CMN_324</t>
  </si>
  <si>
    <t>심판의 검</t>
  </si>
  <si>
    <t>심판의 검기를 날려 적 전체에게 (10+공격)의 피해를 입히고, 1사이클 동안 방어가 2 하락하는 허점(용암)을 부여한다.</t>
  </si>
  <si>
    <t>retribution_shield</t>
  </si>
  <si>
    <t>SK_CMN_325</t>
  </si>
  <si>
    <t>반격의 방패</t>
  </si>
  <si>
    <t>신성력이 깃든 방패로 자신에게 (11+방어)의 보호막을 생성하고, 1사이클 동안 (4+방어)의 피해를 돌려주는 반격을 부여한다.</t>
  </si>
  <si>
    <t>몬스터 방 처치 보상 풀 (중층), SecondaryValue = (반격 기본 데미지)</t>
  </si>
  <si>
    <t>sword_of_protection</t>
  </si>
  <si>
    <t>SK_CMN_326</t>
  </si>
  <si>
    <t>수호의 검</t>
  </si>
  <si>
    <t>수호의 검술로 적 1명에게 (11+공격)의 피해를 입히고, 자신에게 (7+방어)의 보호막을 생성한다.</t>
  </si>
  <si>
    <t>몬스터 방 처치 보상 풀 (중층), SecondaryValue = (획득 보호막 수치)</t>
  </si>
  <si>
    <t>blade_of_grace</t>
  </si>
  <si>
    <t>SK_CMN_327</t>
  </si>
  <si>
    <t>은총의 성검</t>
  </si>
  <si>
    <t>은총이 깃든 성검으로 적 1명에게 (10+공격)의 피해를 입히고, 자신의 체력을 (6+방어)만큼 회복한다.</t>
  </si>
  <si>
    <t>몬스터 방 처치 보상 풀 (중층 - 성광 타격/자힐), SecondaryValue = 자가 회복량(6)</t>
  </si>
  <si>
    <t>sanctuary_barrier</t>
  </si>
  <si>
    <t>SK_CMN_328</t>
  </si>
  <si>
    <t>성역의 결계</t>
  </si>
  <si>
    <t>성역의 결계를 펼쳐 2사이클 동안 아군 전체의 방어를 2 증가시킨다.</t>
  </si>
  <si>
    <t>몬스터 방 처치 보상 풀 (중층 - 광역 방어 버프)</t>
  </si>
  <si>
    <t>wave_of_atonement</t>
  </si>
  <si>
    <t>SK_CMN_329</t>
  </si>
  <si>
    <t>속죄의 파동</t>
  </si>
  <si>
    <t>속죄의 파동을 방출하여 적 전체에게 (9+공격)의 피해를 입히고, 자신에게 (7+방어)의 보호막을 생성한다.</t>
  </si>
  <si>
    <t>몬스터 방 처치 보상 풀 (중층 - 광역 공방일체), SecondaryValue = 획득 보호막 수치(7)</t>
  </si>
  <si>
    <t>inquisitors_verdict</t>
  </si>
  <si>
    <t>SK_CMN_330</t>
  </si>
  <si>
    <t>심문관의 선고</t>
  </si>
  <si>
    <t>심문관의 선고를 내려 적 전체에게 (9+공격)의 피해를 입히고, 2사이클 동안 스킬 에너지 사용 시 3 피해를 입는 내상을 부여한다.</t>
  </si>
  <si>
    <t>몬스터 방 처치 보상 풀 (중층 - 광역 내상 제어)</t>
  </si>
  <si>
    <t>oath_of_crusade</t>
  </si>
  <si>
    <t>SK_CMN_331</t>
  </si>
  <si>
    <t>성전의 맹세</t>
  </si>
  <si>
    <t>성전의 맹세를 선포하여 전투 종료 시까지 아군 전체의 공격을 3 증가시킨다.</t>
  </si>
  <si>
    <t>몬스터 방 처치 보상 풀 (심층). 스킬에너지로 사용</t>
  </si>
  <si>
    <t>blade_of_execution</t>
  </si>
  <si>
    <t>SK_CMN_332</t>
  </si>
  <si>
    <t>단죄의 연검</t>
  </si>
  <si>
    <t>단죄의 검을 연속으로 휘둘러 적 1명에게 (6+공격)의 피해를 3회 입힌다.</t>
  </si>
  <si>
    <t>몬스터 방 처치 보상 풀 (심층)</t>
  </si>
  <si>
    <t>miracle_of_archangel</t>
  </si>
  <si>
    <t>SK_CMN_333</t>
  </si>
  <si>
    <t>대천사의 기적</t>
  </si>
  <si>
    <t>대천사의 기적을 내려 아군 전체의 체력을 (10+방어)만큼 회복하고, 2사이클 동안 공격을 2 증가시킨다.</t>
  </si>
  <si>
    <t>citadel_of_divinity</t>
  </si>
  <si>
    <t>SK_CMN_334</t>
  </si>
  <si>
    <t>신성의 철옹성</t>
  </si>
  <si>
    <t>신성력으로 철옹성을 구축하여 자신에게 (20+방어)의 보호막을 생성하고, 2사이클 동안 받는 피해가 3 감소하는 철벽을 부여한다.</t>
  </si>
  <si>
    <t>spear_of_apocalypse</t>
  </si>
  <si>
    <t>SK_CMN_335</t>
  </si>
  <si>
    <t>천벌의 성검</t>
  </si>
  <si>
    <t>천벌의 성검으로 적 1명에게 (19+공격)의 피해를 입히고, 2사이클 동안 급소를 부여한다.</t>
  </si>
  <si>
    <t>absolute_sanctuary</t>
  </si>
  <si>
    <t>SK_CMN_336</t>
  </si>
  <si>
    <t>절대 성역</t>
  </si>
  <si>
    <t>절대 성역을 선포하여 아군 전체에게 (15+방어)의 보호막을 생성한다.</t>
  </si>
  <si>
    <t>sword_of_sacrifice</t>
  </si>
  <si>
    <t>SK_CMN_337</t>
  </si>
  <si>
    <t>희생의 검</t>
  </si>
  <si>
    <t>자신의 피를 바친 희생의 검으로 적 1명에게 (28+공격)의 피해를 입히고, 자신은 5 피해를 받는다.</t>
  </si>
  <si>
    <t>몬스터 방 처치 보상 풀 (심층). SelfDamage=5</t>
  </si>
  <si>
    <t>divine_advent</t>
  </si>
  <si>
    <t>SK_CMN_338</t>
  </si>
  <si>
    <t>신성 강림</t>
  </si>
  <si>
    <t>IndomitableSelf</t>
  </si>
  <si>
    <t>신성의 가호를 몸에 내려 2사이클 동안 자신이 받는 모든 피해가 1로 고정되는 불굴을 부여한다.</t>
  </si>
  <si>
    <t>supernova_of_purification</t>
  </si>
  <si>
    <t>SK_CMN_339</t>
  </si>
  <si>
    <t>정화의 성광</t>
  </si>
  <si>
    <t>정화의 성광을 터뜨려 적 전체에게 (15+공격)의 피해를 입히고, 2사이클 동안 공포를 부여한다.</t>
  </si>
  <si>
    <t>shield_of_seraph</t>
  </si>
  <si>
    <t>SK_CMN_340</t>
  </si>
  <si>
    <t>치천사의 방패</t>
  </si>
  <si>
    <t>치천사의 방패를 소환하여 자신에게 (16+방어)의 보호막을 생성하고, 2사이클 동안 (6+방어)의 피해를 돌려주는 반격을 부여한다.</t>
  </si>
  <si>
    <t>몬스터 방 처치 보상 풀 (심층), SecondaryValue = (반격 기본 데미지)</t>
  </si>
  <si>
    <t>judgment_of_aegis</t>
  </si>
  <si>
    <t>SK_CMN_341</t>
  </si>
  <si>
    <t>성기사의 심판</t>
  </si>
  <si>
    <t>성기사의 심판을 내려 적 1명에게 (17+공격)의 피해를 입히고 (12+방어)의 보호막을 얻은 뒤, 1사이클 동안 받는 피해가 1로 고정되는 강철을 부여한다.</t>
  </si>
  <si>
    <t>몬스터 방 처치 보상 풀 (심층), SecondaryValue = (획득 보호막 수치)</t>
  </si>
  <si>
    <t>salvation_holy_slash</t>
  </si>
  <si>
    <t>SK_CMN_342</t>
  </si>
  <si>
    <t>구원의 성광참</t>
  </si>
  <si>
    <t>구원의 성광을 휘둘러 적 전체에게 (16+공격)의 피해를 입히고, 자신의 체력을 (10+방어)만큼 회복한다.</t>
  </si>
  <si>
    <t>몬스터 방 처치 보상 풀 (심층 - 광역 타격/자힐), SecondaryValue = 자가 회복량(10)</t>
  </si>
  <si>
    <t>immortal_bastion</t>
  </si>
  <si>
    <t>SK_CMN_343</t>
  </si>
  <si>
    <t>불멸의 성채</t>
  </si>
  <si>
    <t>성채의 가호를 전개하여 아군 전체에게 (12+방어)의 보호막을 생성하고, 2사이클 동안 방어를 2 증가시킨다.</t>
  </si>
  <si>
    <t>몬스터 방 처치 보상 풀 (심층 - 광역 보호막/견고)</t>
  </si>
  <si>
    <t>celestial_march</t>
  </si>
  <si>
    <t>SK_CMN_344</t>
  </si>
  <si>
    <t>천상의 진군가</t>
  </si>
  <si>
    <t>천상의 진군가를 울려 전투 종료 시까지 아군 전체의 공격과 방어를 2 증가시킨다.</t>
  </si>
  <si>
    <t>몬스터 방 처치 보상 풀 (심층 - 광역 영구 공/방 버프)</t>
  </si>
  <si>
    <t>divine_punishment_brand</t>
  </si>
  <si>
    <t>SK_CMN_345</t>
  </si>
  <si>
    <t>신벌의 낙인</t>
  </si>
  <si>
    <t>신벌의 낙인을 새겨 적 전체에게 (15+공격)의 피해를 입히고, 2사이클 동안 급소를 부여한다.</t>
  </si>
  <si>
    <t>몬스터 방 처치 보상 풀 (심층 - 광역 급소 처형)</t>
  </si>
  <si>
    <t>twin_fang_slash</t>
  </si>
  <si>
    <t>SK_CMN_401</t>
  </si>
  <si>
    <t>쌍아연참</t>
  </si>
  <si>
    <t>양손의 비도로 적 1명에게 (4+공격)의 피해를 2회 입힌다.</t>
  </si>
  <si>
    <t>몬스터 방 처치 보상 풀 (표층 - 당가 비도/암기술)</t>
  </si>
  <si>
    <t>shadow_ambush_stab</t>
  </si>
  <si>
    <t>SK_CMN_402</t>
  </si>
  <si>
    <t>배후기습참</t>
  </si>
  <si>
    <t>HitEnemyMultiMark</t>
  </si>
  <si>
    <t>사각에서 기습하여 적 1명에게 (3+공격)의 피해를 2회 입히고, 1사이클 동안 급소를 부여한다.</t>
  </si>
  <si>
    <t>throwing_dagger_fan</t>
  </si>
  <si>
    <t>SK_CMN_403</t>
  </si>
  <si>
    <t>추혼비도</t>
  </si>
  <si>
    <t>비도를 연속 투척하여 적 전체에게 (3+공격)의 피해를 2회 입힌다.</t>
  </si>
  <si>
    <t>venom_coated_blade</t>
  </si>
  <si>
    <t>SK_CMN_404</t>
  </si>
  <si>
    <t>청사독침</t>
  </si>
  <si>
    <t>HitEnemyPoison</t>
  </si>
  <si>
    <t>청사독을 바른 침을 날려 적 1명에게 (5+공격)의 피해를 입히고, 2사이클 동안 매 턴 3 피해를 주는 중독을 부여한다.</t>
  </si>
  <si>
    <t>몬스터 방 처치 보상 풀 (표층 - 당가 독공)</t>
  </si>
  <si>
    <t>poison_needle_spray</t>
  </si>
  <si>
    <t>SK_CMN_405</t>
  </si>
  <si>
    <t>비상독무</t>
  </si>
  <si>
    <t>비상 독무를 흩뿌려 적 전체에게 (4+공격)의 피해를 입히고, 2사이클 동안 매 턴 2 피해를 주는 중독을 부여한다.</t>
  </si>
  <si>
    <t>toxic_mist_step</t>
  </si>
  <si>
    <t>SK_CMN_406</t>
  </si>
  <si>
    <t>독무은형보</t>
  </si>
  <si>
    <t>EvasionSelfPoisonAll</t>
  </si>
  <si>
    <t>독안개 속에 몸을 숨겨 2사이클 동안 자신의 회피를 1 증가시키고, 적 전체에게 2사이클 동안 3의 피해를 입히는 중독을 부여한다.</t>
  </si>
  <si>
    <t>shadow_blade_dance</t>
  </si>
  <si>
    <t>SK_CMN_407</t>
  </si>
  <si>
    <t>무영보법</t>
  </si>
  <si>
    <t>EvasionSelfBraveSelf</t>
  </si>
  <si>
    <t>그림자처럼 몸을 놀리는 보법으로 2사이클 동안 자신의 공격을 1, 회피를 1 증가시킨다.</t>
  </si>
  <si>
    <t>몬스터 방 처치 보상 풀 (표층 - 무영신법/단도술)</t>
  </si>
  <si>
    <t>acrobatic_slash</t>
  </si>
  <si>
    <t>SK_CMN_408</t>
  </si>
  <si>
    <t>비연참</t>
  </si>
  <si>
    <t>HitEnemyEvasionSelf</t>
  </si>
  <si>
    <t>제비처럼 날렵하게 적 1명을 베어 (6+공격)의 피해를 입히고, 2사이클 동안 자신의 회피를 1 증가시킨다.</t>
  </si>
  <si>
    <t>assassin_focus</t>
  </si>
  <si>
    <t>SK_CMN_409</t>
  </si>
  <si>
    <t>살기응집</t>
  </si>
  <si>
    <t>살기를 응집하여 즉시 행동 에너지를 1 회복하고, 1사이클 동안 자신의 공격을 1 증가시킨다.</t>
  </si>
  <si>
    <t>wire_snare_trap</t>
  </si>
  <si>
    <t>SK_CMN_410</t>
  </si>
  <si>
    <t>천라강선진</t>
  </si>
  <si>
    <t>강선 함정을 설치하여 자신에게 (5+방어)의 보호막을 생성하고, 1사이클 동안 피격 시 (3+방어)의 피해를 돌려주는 반격을 부여한다.</t>
  </si>
  <si>
    <t>몬스터 방 처치 보상 풀 (표층 - 당가 기관/함정술), SecondaryValue=반격 기본 데미지(3)</t>
  </si>
  <si>
    <t>caltrop_scattering</t>
  </si>
  <si>
    <t>SK_CMN_411</t>
  </si>
  <si>
    <t>철질려 살포</t>
  </si>
  <si>
    <t>EvasionSelfCounterSelf</t>
  </si>
  <si>
    <t>바닥에 철질려를 흩뿌려 2사이클 동안 자신의 회피를 1 증가시키고, 1사이클 동안 (2+방어)의 피해를 돌려주는 반격을 부여한다.</t>
  </si>
  <si>
    <t>몬스터 방 처치 보상 풀 (표층 - 당가 기관/함정술), SecondaryValue=반격 기본 데미지(2)</t>
  </si>
  <si>
    <t>flashbang_trap</t>
  </si>
  <si>
    <t>SK_CMN_412</t>
  </si>
  <si>
    <t>벽력섬광탄</t>
  </si>
  <si>
    <t>StatusIceAll</t>
  </si>
  <si>
    <t>벽력섬광탄을 터뜨려 2사이클 동안 적 전체의 공격이 1 하락하는 허약(얼음)을 부여한다.</t>
  </si>
  <si>
    <t>몬스터 방 처치 보상 풀 (표층 - 당가 기관/함정술)</t>
  </si>
  <si>
    <t>artery_slice</t>
  </si>
  <si>
    <t>SK_CMN_413</t>
  </si>
  <si>
    <t>혈맥절단</t>
  </si>
  <si>
    <t>적 1명의 혈맥을 베어 (6+공격)의 피해를 입히고, 1사이클 동안 스킬 에너지 사용 시 2 피해를 입는 내상을 부여한다.</t>
  </si>
  <si>
    <t>몬스터 방 처치 보상 풀 (표층 - 살수 절명술)</t>
  </si>
  <si>
    <t>blood_siphon_stab</t>
  </si>
  <si>
    <t>SK_CMN_414</t>
  </si>
  <si>
    <t>흡혈비도</t>
  </si>
  <si>
    <t>피를 빨아들이는 비도로 적 1명에게 (5+공격)의 피해를 입히고, 자신의 체력을 (3+방어)만큼 회복한다.</t>
  </si>
  <si>
    <t>몬스터 방 처치 보상 풀 (표층 - 살수 절명술), SecondaryValue=자가 회복량(3)</t>
  </si>
  <si>
    <t>shadow_shroud_strike</t>
  </si>
  <si>
    <t>SK_CMN_415</t>
  </si>
  <si>
    <t>암영장막참</t>
  </si>
  <si>
    <t>HitAllEnemiesDarkAll</t>
  </si>
  <si>
    <t>Dark</t>
  </si>
  <si>
    <t>어둠의 장막 속에서 적 전체를 베어 (4+공격)의 피해를 입히고, 1사이클 동안 에너지 소모량이 1 증가하는 과욕(어둠)을 부여한다.</t>
  </si>
  <si>
    <t>triple_fang_flurry</t>
  </si>
  <si>
    <t>SK_CMN_416</t>
  </si>
  <si>
    <t>삼연추혼참</t>
  </si>
  <si>
    <t>비도를 세 번 연속 휘둘러 적 1명에게 (5+공격)의 피해를 3회 입힌다.</t>
  </si>
  <si>
    <t>몬스터 방 처치 보상 풀 (중층 - 당가 비도/암기술)</t>
  </si>
  <si>
    <t>vital_point_eviscerate</t>
  </si>
  <si>
    <t>SK_CMN_417</t>
  </si>
  <si>
    <t>사혈도려내기</t>
  </si>
  <si>
    <t>적 1명의 사혈을 도려내어 (6+공격)의 피해를 2회 입히고, 2사이클 동안 급소를 부여한다.</t>
  </si>
  <si>
    <t>shadow_shuriken_storm</t>
  </si>
  <si>
    <t>SK_CMN_418</t>
  </si>
  <si>
    <t>유성만화표</t>
  </si>
  <si>
    <t>사방으로 유성표를 투척하여 적 전체에게 (4+공격)의 피해를 3회 입힌다.</t>
  </si>
  <si>
    <t>deadly_neurotoxin_stab</t>
  </si>
  <si>
    <t>SK_CMN_419</t>
  </si>
  <si>
    <t>오독침투장</t>
  </si>
  <si>
    <t>오독의 독기를 침투시켜 적 1명에게 (10+공격)의 피해를 입히고, 3사이클 동안 매 턴 5 피해를 주는 중독을 부여한다.</t>
  </si>
  <si>
    <t>몬스터 방 처치 보상 풀 (중층 - 당가 독공)</t>
  </si>
  <si>
    <t>plague_dagger_fan</t>
  </si>
  <si>
    <t>SK_CMN_420</t>
  </si>
  <si>
    <t>만독비도선</t>
  </si>
  <si>
    <t>독을 머금은 부채형 비도를 날려 적 전체에게 (8+공격)의 피해를 입히고, 3사이클 동안 매 턴 4 피해를 주는 중독을 부여한다.</t>
  </si>
  <si>
    <t>venom_explosion_slash</t>
  </si>
  <si>
    <t>SK_CMN_421</t>
  </si>
  <si>
    <t>독룡폭렬참</t>
  </si>
  <si>
    <t>HitEnemySingleAoePoison</t>
  </si>
  <si>
    <t>적 1명을 베어 (9+공격)의 피해를 입히고 독기를 폭발시켜 적 전체에 (4+공격)의 추가 피해와 2사이클 동안 중독 3을 부여한다.</t>
  </si>
  <si>
    <t>몬스터 방 처치 보상 풀 (중층 - 당가 독공), SecondaryValue=광역 피해 계수(4)</t>
  </si>
  <si>
    <t>wind_shadow_stance</t>
  </si>
  <si>
    <t>SK_CMN_422</t>
  </si>
  <si>
    <t>질풍은형술</t>
  </si>
  <si>
    <t>바람과 그림자 속에 몸을 감춰 2사이클 동안 자신의 공격을 2, 회피를 2 증가시킨다.</t>
  </si>
  <si>
    <t>몬스터 방 처치 보상 풀 (중층 - 무영신법/단도술)</t>
  </si>
  <si>
    <t>phantom_lunge_strike</t>
  </si>
  <si>
    <t>SK_CMN_423</t>
  </si>
  <si>
    <t>환영일섬</t>
  </si>
  <si>
    <t>환영을 남기며 적 1명을 일섬으로 베어 (12+공격)의 피해를 입히고, 2사이클 동안 자신의 회피를 2 증가시킨다.</t>
  </si>
  <si>
    <t>crescent_moon_dance</t>
  </si>
  <si>
    <t>SK_CMN_424</t>
  </si>
  <si>
    <t>잔월무영보</t>
  </si>
  <si>
    <t>초승달 같은 궤적으로 이동하여 자신에게 (9+방어)의 보호막을 생성하고, 2사이클 동안 자신의 회피를 2 증가시킨다.</t>
  </si>
  <si>
    <t>poison_spike_trap</t>
  </si>
  <si>
    <t>SK_CMN_425</t>
  </si>
  <si>
    <t>독침기관진</t>
  </si>
  <si>
    <t>독침 기관진을 설치하여 자신에게 (10+방어)의 보호막을 생성하고, 1사이클 동안 피격 시 (5+방어)의 피해를 돌려주는 반격을 부여한다.</t>
  </si>
  <si>
    <t>몬스터 방 처치 보상 풀 (중층 - 당가 기관/함정술), SecondaryValue=반격 기본 데미지(5)</t>
  </si>
  <si>
    <t>mirage_decoy_trap</t>
  </si>
  <si>
    <t>SK_CMN_426</t>
  </si>
  <si>
    <t>허상분신진</t>
  </si>
  <si>
    <t>허상 분신진을 펼쳐 2사이클 동안 자신의 회피를 2 증가시키고, 2사이클 동안 (4+방어)의 피해를 돌려주는 반격을 부여한다.</t>
  </si>
  <si>
    <t>몬스터 방 처치 보상 풀 (중층 - 당가 기관/함정술), SecondaryValue=반격 기본 데미지(4)</t>
  </si>
  <si>
    <t>chain_shackle_trap</t>
  </si>
  <si>
    <t>SK_CMN_427</t>
  </si>
  <si>
    <t>천라박쇄진</t>
  </si>
  <si>
    <t>사슬 기관으로 적 전체를 타격하여 (8+공격)의 피해를 입히고, 2사이클 동안 급소를 부여한다.</t>
  </si>
  <si>
    <t>몬스터 방 처치 보상 풀 (중층 - 당가 기관/함정술)</t>
  </si>
  <si>
    <t>tendon_sever_slash</t>
  </si>
  <si>
    <t>SK_CMN_428</t>
  </si>
  <si>
    <t>단근절맥참</t>
  </si>
  <si>
    <t>적 1명의 힘줄과 경맥을 베어 (12+공격)의 피해를 입히고, 2사이클 동안 방어가 2 하락하는 허점(용암)을 부여한다.</t>
  </si>
  <si>
    <t>몬스터 방 처치 보상 풀 (중층 - 살수 절명술)</t>
  </si>
  <si>
    <t>nightmare_assassination</t>
  </si>
  <si>
    <t>SK_CMN_429</t>
  </si>
  <si>
    <t>야차기습</t>
  </si>
  <si>
    <t>어둠 속에서 적 전체를 기습하여 (9+공격)의 피해를 입히고, 2사이클 동안 공포를 부여한다.</t>
  </si>
  <si>
    <t>crimson_execution</t>
  </si>
  <si>
    <t>SK_CMN_430</t>
  </si>
  <si>
    <t>혈루참수</t>
  </si>
  <si>
    <t>적 1명의 급소를 베어 (11+공격)의 피해를 입히고, 자신의 체력을 (6+방어)만큼 회복한다.</t>
  </si>
  <si>
    <t>몬스터 방 처치 보상 풀 (중층 - 살수 절명술), SecondaryValue=자가 회복량(6)</t>
  </si>
  <si>
    <t>phantom_clone_barrage</t>
  </si>
  <si>
    <t>SK_CMN_431</t>
  </si>
  <si>
    <t>무영분신난무</t>
  </si>
  <si>
    <t>분신과 함께 비도를 휘둘러 적 1명에게 (5+공격)의 피해를 5회 입힌다.</t>
  </si>
  <si>
    <t>몬스터 방 처치 보상 풀 (심층 - 당가 비도/암기술)</t>
  </si>
  <si>
    <t>death_mark_execution</t>
  </si>
  <si>
    <t>SK_CMN_432</t>
  </si>
  <si>
    <t>절명사연참</t>
  </si>
  <si>
    <t>숨통을 노리는 4연속 참격으로 적 1명에게 (6+공격)의 피해를 4회 입히고, 2사이클 동안 급소를 부여한다.</t>
  </si>
  <si>
    <t>thousand_daggers_storm</t>
  </si>
  <si>
    <t>SK_CMN_433</t>
  </si>
  <si>
    <t>만천화우</t>
  </si>
  <si>
    <t>수많은 암기를 비처럼 쏟아부어 적 전체에게 (5+공격)의 피해를 4회 입힌다.</t>
  </si>
  <si>
    <t>abyssal_venom_fang</t>
  </si>
  <si>
    <t>SK_CMN_434</t>
  </si>
  <si>
    <t>천잠마독침</t>
  </si>
  <si>
    <t>천잠마독침을 날려 적 1명에게 (15+공격)의 피해를 입히고, 3사이클 동안 매 턴 8 피해를 주는 중독을 부여한다.</t>
  </si>
  <si>
    <t>몬스터 방 처치 보상 풀 (심층 - 당가 독공)</t>
  </si>
  <si>
    <t>pandemic_catastrophe</t>
  </si>
  <si>
    <t>SK_CMN_435</t>
  </si>
  <si>
    <t>만독구천겁</t>
  </si>
  <si>
    <t>사방에 만독을 살포하여 적 전체에게 (13+공격)의 피해를 입히고, 3사이클 동안 매 턴 6 피해를 주는 중독을 부여한다.</t>
  </si>
  <si>
    <t>phantom_miasma_domain</t>
  </si>
  <si>
    <t>SK_CMN_436</t>
  </si>
  <si>
    <t>만독결계진</t>
  </si>
  <si>
    <t>독무 결계를 둘러 자신에게 (14+방어)의 보호막을 생성하고, 적 전체에게 3사이클 동안 매 턴 6 피해를 주는 중독을 부여한다.</t>
  </si>
  <si>
    <t>shadow_monarch_descent</t>
  </si>
  <si>
    <t>SK_CMN_437</t>
  </si>
  <si>
    <t>암존강림</t>
  </si>
  <si>
    <t>암존의 보법과 살기를 일깨워 전투 종료 시까지 자신의 공격을 3, 회피를 3 증가시킨다.</t>
  </si>
  <si>
    <t>몬스터 방 처치 보상 풀 (심층 - 무영신법/단도술)</t>
  </si>
  <si>
    <t>void_step_assassinate</t>
  </si>
  <si>
    <t>SK_CMN_438</t>
  </si>
  <si>
    <t>허공섬멸참</t>
  </si>
  <si>
    <t>허공을 가르며 적 1명을 베어 (18+공격)의 피해를 입히고, 2사이클 동안 자신의 회피를 3 증가시킨다.</t>
  </si>
  <si>
    <t>veil_of_twilight</t>
  </si>
  <si>
    <t>SK_CMN_439</t>
  </si>
  <si>
    <t>무형은신결</t>
  </si>
  <si>
    <t>GainEnergyBlindnessSelf</t>
  </si>
  <si>
    <t>Blindness</t>
  </si>
  <si>
    <t>형체를 지우는 은신결을 펼쳐 즉시 행동 에너지를 1 회복하고, 2사이클 동안 받는 모든 피해가 1로 고정되는 불굴(실명)을 부여한다.</t>
  </si>
  <si>
    <t>death_blossom_matrix</t>
  </si>
  <si>
    <t>SK_CMN_440</t>
  </si>
  <si>
    <t>절명검림진</t>
  </si>
  <si>
    <t>검림 기관진을 설치하여 자신에게 (15+방어)의 보호막을 생성하고, 2사이클 동안 피격 시 (7+방어)의 피해를 돌려주는 반격을 부여한다.</t>
  </si>
  <si>
    <t>몬스터 방 처치 보상 풀 (심층 - 당가 기관/함정술), SecondaryValue=반격 기본 데미지(7)</t>
  </si>
  <si>
    <t>phantom_labyrinth_trap</t>
  </si>
  <si>
    <t>SK_CMN_441</t>
  </si>
  <si>
    <t>환영미궁진</t>
  </si>
  <si>
    <t>환영 미궁진을 펼쳐 2사이클 동안 자신의 회피를 3 증가시키고, 2사이클 동안 피격 시 (6+방어)의 피해를 돌려주는 반격을 부여한다.</t>
  </si>
  <si>
    <t>몬스터 방 처치 보상 풀 (심층 - 당가 기관/함정술), SecondaryValue=반격 기본 데미지(6)</t>
  </si>
  <si>
    <t>guillotine_wire_matrix</t>
  </si>
  <si>
    <t>SK_CMN_442</t>
  </si>
  <si>
    <t>천라단혼망</t>
  </si>
  <si>
    <t>강선 그물로 적 전체를 조여 (15+공격)의 피해를 입히고, 2사이클 동안 스킬 에너지 사용 시 5 피해를 입는 내상을 부여한다.</t>
  </si>
  <si>
    <t>몬스터 방 처치 보상 풀 (심층 - 당가 기관/함정술)</t>
  </si>
  <si>
    <t>heart_rip_execution</t>
  </si>
  <si>
    <t>SK_CMN_443</t>
  </si>
  <si>
    <t>멸절심장투</t>
  </si>
  <si>
    <t>적 1명의 심장을 비도로 찔러 (22+공격)의 피해를 입히고, 2사이클 동안 급소를 부여한다.</t>
  </si>
  <si>
    <t>몬스터 방 처치 보상 풀 (심층 - 살수 절명술)</t>
  </si>
  <si>
    <t>eclipse_domain_slash</t>
  </si>
  <si>
    <t>SK_CMN_444</t>
  </si>
  <si>
    <t>흑야일식참</t>
  </si>
  <si>
    <t>칠흑 같은 참격으로 적 전체를 베어 (16+공격)의 피해를 입히고, 2사이클 동안 공포를 부여한다.</t>
  </si>
  <si>
    <t>soul_reaper_scythe</t>
  </si>
  <si>
    <t>SK_CMN_445</t>
  </si>
  <si>
    <t>탈명귀참</t>
  </si>
  <si>
    <t>적 전체의 숨통을 베어 (16+공격)의 피해를 입히고, 자신의 체력을 (10+방어)만큼 회복한다.</t>
  </si>
  <si>
    <t>몬스터 방 처치 보상 풀 (심층 - 살수 절명술), SecondaryValue=자가 회복량(10)</t>
  </si>
  <si>
    <t>slime_strike</t>
  </si>
  <si>
    <t>SK_SLI_001</t>
  </si>
  <si>
    <t>슬라임 박치기</t>
  </si>
  <si>
    <t>Monster</t>
  </si>
  <si>
    <t>Common</t>
  </si>
  <si>
    <t>몸통으로 부딪혀 적 전체에게 (5+공격)의 피해를 입힌다.</t>
  </si>
  <si>
    <t>몬스터 스킬(슬라임 왕국)</t>
  </si>
  <si>
    <t>condense</t>
  </si>
  <si>
    <t>SK_SLI_002</t>
  </si>
  <si>
    <t>응축</t>
  </si>
  <si>
    <t>점액을 단단히 응축하여 자신에게 (5+방어)의 보호막을 생성한다.</t>
  </si>
  <si>
    <t>mucus_heal</t>
  </si>
  <si>
    <t>SK_SLI_003</t>
  </si>
  <si>
    <t>점액질 회복</t>
  </si>
  <si>
    <t>치유 점액을 퍼뜨려 아군 전체의 체력을 (5+방어)만큼 회복한다.</t>
  </si>
  <si>
    <t>lava_spit</t>
  </si>
  <si>
    <t>SK_SLI_004</t>
  </si>
  <si>
    <t>마그마 투척</t>
  </si>
  <si>
    <t>뜨거운 마그마 덩어리를 던져 적 전체에게 (5+공격)의 피해를 입히고, 1사이클 동안 허점(용암) 1을 부여한다.</t>
  </si>
  <si>
    <t>toxic_Split</t>
  </si>
  <si>
    <t>SK_SLI_005</t>
  </si>
  <si>
    <t>맹독 투척</t>
  </si>
  <si>
    <t>독성 점액을 던져 적 전체에게 (5+공격)의 피해를 입히고, 2사이클 동안 3의 피해를 주는 중독을 부여한다.</t>
  </si>
  <si>
    <t>ice_split</t>
  </si>
  <si>
    <t>SK_SLI_006</t>
  </si>
  <si>
    <t>서리 투척</t>
  </si>
  <si>
    <t>차가운 서리 덩어리를 던져 적 전체에게 (5+공격)의 피해를 입히고, 1사이클 동안 허약(얼음) 1을 부여한다.</t>
  </si>
  <si>
    <t>slime_charge</t>
  </si>
  <si>
    <t>SK_SLI_007</t>
  </si>
  <si>
    <t>슬라임 돌진</t>
  </si>
  <si>
    <t>전력으로 돌진하여 적 전체에게 (7+공격)의 피해를 입힌다.</t>
  </si>
  <si>
    <t>metallic</t>
  </si>
  <si>
    <t>SK_SLI_008</t>
  </si>
  <si>
    <t>강철화</t>
  </si>
  <si>
    <t>MetalSelf</t>
  </si>
  <si>
    <t>표면을 금속처럼 굳혀 자신에게 1사이클 동안 받는 피해가 1로 고정되는 강철을 부여한다.</t>
  </si>
  <si>
    <t>몬스터 스킬(슬라임 왕국)(가디언)</t>
  </si>
  <si>
    <t>metal_press</t>
  </si>
  <si>
    <t>SK_SLI_009</t>
  </si>
  <si>
    <t>메탈 프레스</t>
  </si>
  <si>
    <t>무거운 금속 몸체로 짓눌러 적 전체에게 (8+공격)의 피해를 입힌다.</t>
  </si>
  <si>
    <t>acid_split</t>
  </si>
  <si>
    <t>SK_SLI_010</t>
  </si>
  <si>
    <t>산성액 투척</t>
  </si>
  <si>
    <t>HitAllEnemiesAcidAll</t>
  </si>
  <si>
    <t>산성액을 뿌려 적 전체에게 (8+공격)의 피해를 입히고, 1사이클 동안 과욕(산성) 1을 부여한다.</t>
  </si>
  <si>
    <t>primal_fear</t>
  </si>
  <si>
    <t>SK_SLI_011</t>
  </si>
  <si>
    <t>근원적인 공포</t>
  </si>
  <si>
    <t>StatusFearAll</t>
  </si>
  <si>
    <t>고대의 위압감을 뿜어내어 적 전체에게 1사이클 동안 공포를 부여한다.</t>
  </si>
  <si>
    <t>declaration_of_war</t>
  </si>
  <si>
    <t>SK_SLI_012</t>
  </si>
  <si>
    <t>선전포고</t>
  </si>
  <si>
    <t>전투 신호를 내려 1사이클 동안 아군 전체에게 공격이 2 증가하는 용기를 부여한다.</t>
  </si>
  <si>
    <t>몬스터 스킬(슬라임 왕국)(가디언)
StatusValue = 용기로 인한 공격력 증가치</t>
  </si>
  <si>
    <t>general's_sword</t>
  </si>
  <si>
    <t>SK_SLI_013</t>
  </si>
  <si>
    <t>장군의 검</t>
  </si>
  <si>
    <t>장군의 검을 휘둘러 적 전체에게 (10+공격)의 피해를 입힌다.</t>
  </si>
  <si>
    <t>trinity</t>
  </si>
  <si>
    <t>SK_SLI_014</t>
  </si>
  <si>
    <t>삼위일체</t>
  </si>
  <si>
    <t>세 가지 속성이 융합된 일격으로 적 전체에게 (12+공격)의 피해를 입히고, 1사이클 동안 퓨전 2를 부여한다.</t>
  </si>
  <si>
    <t>몬스터 스킬(슬라임 왕국)(보스)
퓨전: 중독, 용암, 얼음 중 1가지를 랜덤으로 적용시킨다.</t>
  </si>
  <si>
    <t>harden</t>
  </si>
  <si>
    <t>SK_SLI_015</t>
  </si>
  <si>
    <t>단단해지기</t>
  </si>
  <si>
    <t>외피를 두껍게 굳혀 자신에게 (13+방어)의 보호막을 생성한다.</t>
  </si>
  <si>
    <t>몬스터 스킬(슬라임 왕국)(보스)</t>
  </si>
  <si>
    <t>king's_roar</t>
  </si>
  <si>
    <t>SK_SLI_016</t>
  </si>
  <si>
    <t>왕의 포효</t>
  </si>
  <si>
    <t>왕의 포효를 울려 아군 전체의 체력을 (10+방어)만큼 회복하고, 1사이클 동안 공격이 2 증가하는 용기를 부여한다.</t>
  </si>
  <si>
    <t>king's_sword</t>
  </si>
  <si>
    <t>SK_SLI_017</t>
  </si>
  <si>
    <t>왕의 검</t>
  </si>
  <si>
    <t>거대한 왕의 검을 내려쳐 적 전체에게 (15+공격)의 피해를 입힌다.</t>
  </si>
  <si>
    <t>lizard_dagger_first_form</t>
  </si>
  <si>
    <t>SK_LIZ_001</t>
  </si>
  <si>
    <t>리자드식 단도술 제 1장</t>
  </si>
  <si>
    <t>리자드식 기본 단도술로 적 전체에게 (9+공격)의 피해를 입힌다.</t>
  </si>
  <si>
    <t>몬스터 스킬(리자드의 늪)</t>
  </si>
  <si>
    <t>lizard_defense_first_form</t>
  </si>
  <si>
    <t>SK_LIZ_002</t>
  </si>
  <si>
    <t>리자드식 방어 제 1장</t>
  </si>
  <si>
    <t>리자드식 기본 방어술로 자신에게 (10+방어)의 보호막을 생성한다.</t>
  </si>
  <si>
    <t>lizard_dagger_second_form</t>
  </si>
  <si>
    <t>SK_LIZ_003</t>
  </si>
  <si>
    <t>리자드식 단도술 제 2장</t>
  </si>
  <si>
    <t>단검을 연속으로 휘둘러 적 전체에게 (6+공격)의 피해를 2회 입힌다.</t>
  </si>
  <si>
    <t>lizard_spear_first_form</t>
  </si>
  <si>
    <t>SK_LIZ_004</t>
  </si>
  <si>
    <t>리자드식 창술 제 1장</t>
  </si>
  <si>
    <t>창을 길게 찔러 적 전체에게 (11+공격)의 피해를 입힌다.</t>
  </si>
  <si>
    <t>lizard_sword_first_form</t>
  </si>
  <si>
    <t>SK_LIZ_005</t>
  </si>
  <si>
    <t>리자드식 검술 제 1장</t>
  </si>
  <si>
    <t>검을 크게 휘둘러 적 전체에게 (12+공격)의 피해를 입힌다.</t>
  </si>
  <si>
    <t>lizard_defense_second_form</t>
  </si>
  <si>
    <t>SK_LIZ_006</t>
  </si>
  <si>
    <t>리자드식 방어 제 2장</t>
  </si>
  <si>
    <t>숙련된 방어 자세를 취해 자신에게 (12+방어)의 보호막을 생성한다.</t>
  </si>
  <si>
    <t>courage_spell</t>
  </si>
  <si>
    <t>SK_LIZ_007</t>
  </si>
  <si>
    <t>용기의 주술</t>
  </si>
  <si>
    <t>용기의 주술을 걸어 아군 전체의 공격을 1 증가시킨다.</t>
  </si>
  <si>
    <t>fortitude_spell</t>
  </si>
  <si>
    <t>SK_LIZ_008</t>
  </si>
  <si>
    <t>견고의 주술</t>
  </si>
  <si>
    <t>견고의 주술을 걸어 아군 전체의 방어를 1 증가시킨다.</t>
  </si>
  <si>
    <t>spell_attack</t>
  </si>
  <si>
    <t>SK_LIZ_009</t>
  </si>
  <si>
    <t>주술 공격</t>
  </si>
  <si>
    <t>주술 파동을 날려 적 전체에게 (7+공격)의 피해를 입히고, 자신에게 (8+방어)의 보호막을 생성한다.</t>
  </si>
  <si>
    <t>lizard_archery_first_form</t>
  </si>
  <si>
    <t>SK_LIZ_010</t>
  </si>
  <si>
    <t>리자드식 궁술 제 1장</t>
  </si>
  <si>
    <t>일제 사격을 가해 적 전체에게 (10+공격)의 피해를 입힌다.</t>
  </si>
  <si>
    <t>swift_movement</t>
  </si>
  <si>
    <t>SK_LIZ_011</t>
  </si>
  <si>
    <t>신속한 몸놀림</t>
  </si>
  <si>
    <t>재빠른 몸놀림으로 자신의 회피를 2 증가시킨다.</t>
  </si>
  <si>
    <t>lizard_shield_first_form</t>
  </si>
  <si>
    <t>SK_LIZ_012</t>
  </si>
  <si>
    <t>리자드식 방패술 제 1장</t>
  </si>
  <si>
    <t>방패로 밀어쳐 적 전체에게 (7+공격)의 피해를 입히고, 자신에게 (10+방어)의 보호막을 생성한다.</t>
  </si>
  <si>
    <t>lizard_shield_second_form</t>
  </si>
  <si>
    <t>SK_LIZ_013</t>
  </si>
  <si>
    <t>리자드식 방패술 제 2장</t>
  </si>
  <si>
    <t>대형 방패를 세워 자신에게 (18+방어)의 보호막을 생성한다.</t>
  </si>
  <si>
    <t>martial_arts_first_form</t>
  </si>
  <si>
    <t>SK_LIZ_014</t>
  </si>
  <si>
    <t>정권 지르기</t>
  </si>
  <si>
    <t>정권을 내지르며 적 전체에게 (12+공격)의 피해를 입히고, 1사이클 동안 급소를 부여한다.</t>
  </si>
  <si>
    <t>몬스터 스킬(리자드의 늪)(가디언)</t>
  </si>
  <si>
    <t>martial_arts_second_form</t>
  </si>
  <si>
    <t>SK_LIZ_015</t>
  </si>
  <si>
    <t>연속 지르기</t>
  </si>
  <si>
    <t>주먹을 연속으로 내지르며 적 전체에게 (7+공격)의 피해를 3회 입힌다.</t>
  </si>
  <si>
    <t>lizard_defense_third_form</t>
  </si>
  <si>
    <t>SK_LIZ_016</t>
  </si>
  <si>
    <t>리자드식 방어 제 3장</t>
  </si>
  <si>
    <t>빈틈없는 방어 자세를 취해 자신에게 (17+방어)의 보호막을 생성한다.</t>
  </si>
  <si>
    <t>lizard_ambush_first_form</t>
  </si>
  <si>
    <t>SK_LIZ_017</t>
  </si>
  <si>
    <t>리자드식 암습 제 1장</t>
  </si>
  <si>
    <t>사각에서 기습하여 적 전체에게 (13+공격)의 피해를 입히고, 2사이클 동안 급소를 부여한다.</t>
  </si>
  <si>
    <t>lizard_ambush_second_form</t>
  </si>
  <si>
    <t>SK_LIZ_018</t>
  </si>
  <si>
    <t>리자드식 암습 제 2장</t>
  </si>
  <si>
    <t>독을 바른 암기로 적 전체에게 (8+공격)의 피해를 입히고, 3사이클 동안 4의 피해를 주는 중독을 부여한다.</t>
  </si>
  <si>
    <t>lizard_shield_third_form</t>
  </si>
  <si>
    <t>SK_LIZ_019</t>
  </si>
  <si>
    <t>리자드식 방패술 제 3장</t>
  </si>
  <si>
    <t>방패로 몸을 굳건히 지켜 자신에게 (13+방어)의 보호막을 생성하고, 방어를 2 증가시킨다.</t>
  </si>
  <si>
    <t>lizard_mace_first_form</t>
  </si>
  <si>
    <t>SK_LIZ_020</t>
  </si>
  <si>
    <t>리자드식 둔기술 제 1장</t>
  </si>
  <si>
    <t>무거운 철퇴를 내려쳐 적 전체에게 (17+공격)의 피해를 입힌다.</t>
  </si>
  <si>
    <t>lizard_mace_second_form</t>
  </si>
  <si>
    <t>SK_LIZ_021</t>
  </si>
  <si>
    <t>리자드식 둔기술 제 2장</t>
  </si>
  <si>
    <t>철퇴를 연속으로 휘둘러 적 전체에게 (9+공격)의 피해를 2회 입힌다.</t>
  </si>
  <si>
    <t>guide's_fear_spell</t>
  </si>
  <si>
    <t>SK_LIZ_022</t>
  </si>
  <si>
    <t>인도자의 공포의 주술</t>
  </si>
  <si>
    <t>공포의 주술을 외워 적 전체에게 2사이클 동안 공포를 부여한다.</t>
  </si>
  <si>
    <t>guide's_courage_spell</t>
  </si>
  <si>
    <t>SK_LIZ_023</t>
  </si>
  <si>
    <t>인도자의 용기의 주술</t>
  </si>
  <si>
    <t>상급 용기의 주술을 걸어 아군 전체의 공격을 2 증가시킨다.</t>
  </si>
  <si>
    <t>guide's_spell_attack</t>
  </si>
  <si>
    <t>SK_LIZ_024</t>
  </si>
  <si>
    <t>인도자의 주술 공격</t>
  </si>
  <si>
    <t>응축된 주술 탄환으로 적 전체에게 (14+공격)의 피해를 입히고, 자신에게 (18+방어)의 보호막을 생성한다.</t>
  </si>
  <si>
    <t>lizard_spear_second_form</t>
  </si>
  <si>
    <t>SK_LIZ_025</t>
  </si>
  <si>
    <t>리자드식 창술 2장</t>
  </si>
  <si>
    <t>창으로 약점을 꿰뚫어 적 전체에게 (19+공격)의 피해를 입히고, 2사이클 동안 급소를 부여한다.</t>
  </si>
  <si>
    <t>몬스터 스킬(리자드의 늪)(보스)</t>
  </si>
  <si>
    <t>lizard_shield_final_form</t>
  </si>
  <si>
    <t>SK_LIZ_026</t>
  </si>
  <si>
    <t>리자드식 방어 극의</t>
  </si>
  <si>
    <t>방어술의 극의를 펼쳐 자신에게 (19+방어)의 보호막을 생성하고, 방어를 2 증가시킨다.</t>
  </si>
  <si>
    <t>lizard_spear_final_form</t>
  </si>
  <si>
    <t>SK_LIZ_027</t>
  </si>
  <si>
    <t>리자드식 창술 극의</t>
  </si>
  <si>
    <t>창을 바람처럼 몰아쳐 적 전체에게 (3+공격)의 피해를 4회 입힌다.</t>
  </si>
  <si>
    <t>lizard_sword_second_form</t>
  </si>
  <si>
    <t>SK_LIZ_028</t>
  </si>
  <si>
    <t>리자드식 검술 제 2장</t>
  </si>
  <si>
    <t>위압적인 검기로 적 전체에게 (25+공격)의 피해를 입히고, 2사이클 동안 공포를 부여한다.</t>
  </si>
  <si>
    <t>lizard_sword_final_form</t>
  </si>
  <si>
    <t>SK_LIZ_029</t>
  </si>
  <si>
    <t>리자드식 검술 극의</t>
  </si>
  <si>
    <t>검술의 극의로 연속 참격을 가해 적 전체에게 (3+공격)의 피해를 5회 입힌다.</t>
  </si>
  <si>
    <t>common_adrenaline</t>
  </si>
  <si>
    <t>SK_CMN_108</t>
  </si>
  <si>
    <t>아드레날린</t>
  </si>
  <si>
    <t>Shared</t>
  </si>
  <si>
    <t>아드레날린을 분비하여 즉시 행동 에너지를 1 회복한다.</t>
  </si>
  <si>
    <t>evt_blood_pact_strike</t>
  </si>
  <si>
    <t>SK_EVT_001</t>
  </si>
  <si>
    <t>피의 서약 일격</t>
  </si>
  <si>
    <t>Event</t>
  </si>
  <si>
    <t>피의 서약에 따라 자신의 체력을 4 소모하여 적 1명에게 (16+공격)의 피해를 입히고, 대상의 체력을 깎았다면 체력을 8 회복한다.</t>
  </si>
  <si>
    <t>이벤트 전용 스킬 풀 (공용 3번 컨셉 - 전 직업 사용 가능)</t>
  </si>
  <si>
    <t>evt_golden_transmutation</t>
  </si>
  <si>
    <t>SK_EVT_002</t>
  </si>
  <si>
    <t>황금 연성 타격</t>
  </si>
  <si>
    <t>적 1명에게 (10+공격)의 피해를 입히고, 마력을 금화로 연성하여 던전 재화를 15 획득한다.</t>
  </si>
  <si>
    <t>이벤트 전용 스킬 풀 (공용 3번 컨셉), SecondaryValue=획득 던전 재화(15)</t>
  </si>
  <si>
    <t>evt_chrono_shift</t>
  </si>
  <si>
    <t>SK_EVT_003</t>
  </si>
  <si>
    <t>시간 왜곡</t>
  </si>
  <si>
    <t>시간의 흐름을 비틀어 즉시 행동 에너지를 1 회복하고, 1사이클 동안 받는 모든 피해가 1로 고정되는 불굴을 부여한다.</t>
  </si>
  <si>
    <t>이벤트 전용 스킬 풀 (공용 3번 컨셉 - 최고급 유틸기)</t>
  </si>
  <si>
    <t>evt_mirror_phantom_strike</t>
  </si>
  <si>
    <t>SK_EVT_004</t>
  </si>
  <si>
    <t>환영 복제 연격</t>
  </si>
  <si>
    <t>복제된 환영과 함께 공격하여 적 전체에게 (5+공격)의 피해를 3회 입힌다.</t>
  </si>
  <si>
    <t>이벤트 전용 스킬 풀 (공용 3번 컨셉 - 광역 다단 히트)</t>
  </si>
  <si>
    <t>evt_soul_harvest_wave</t>
  </si>
  <si>
    <t>SK_EVT_005</t>
  </si>
  <si>
    <t>영혼 수확 파동</t>
  </si>
  <si>
    <t>생명력을 수확하는 파동을 날려 적 전체에게 (15+공격)의 피해를 입히고, 자신의 체력을 (10+방어)만큼 회복한다.</t>
  </si>
  <si>
    <t>이벤트 전용 스킬 풀 (공용 3번 컨셉 - 광역 딜+대량 자힐)</t>
  </si>
  <si>
    <t>evt_forbidden_supernova</t>
  </si>
  <si>
    <t>SK_EVT_006</t>
  </si>
  <si>
    <t>금단의 초신성</t>
  </si>
  <si>
    <t>자신의 체력을 5 소모하여 초신성 폭발을 일으켜 적 전체에게 (24+공격)의 피해를 입히고, 2사이클 동안 방어가 3 하락하는 허점(용암)을 부여한다.</t>
  </si>
  <si>
    <t>이벤트 전용 스킬 풀 (공용 3번 컨셉 - 최종 결전 병기), SelfDamage=5</t>
  </si>
  <si>
    <t>elm_strike</t>
  </si>
  <si>
    <t>SK_ELM_001</t>
  </si>
  <si>
    <t>원소 타격</t>
  </si>
  <si>
    <t>응축된 원소의 힘으로 적 전체에게 (13+공격)의 피해를 입힌다.</t>
  </si>
  <si>
    <t>몬스터 스킬(정령계 공용: 운디네, 노움)</t>
  </si>
  <si>
    <t>elm_shield</t>
  </si>
  <si>
    <t>SK_ELM_002</t>
  </si>
  <si>
    <t>원소 보호막</t>
  </si>
  <si>
    <t>원소 에너지를 둘러 자신에게 (14+방어)의 보호막을 생성한다.</t>
  </si>
  <si>
    <t>몬스터 스킬(정령계 공용: 샐러맨더, 실프, 위스프, 셰이드)</t>
  </si>
  <si>
    <t>earth_shield</t>
  </si>
  <si>
    <t>SK_ELM_003</t>
  </si>
  <si>
    <t>대지의 방패</t>
  </si>
  <si>
    <t>대지의 기운으로 방패를 만들어 자신에게 (16+방어)의 보호막을 생성하고, 방어를 2 증가시킨다.</t>
  </si>
  <si>
    <t>몬스터 스킬(정령계 공용: 노움, 클레이)</t>
  </si>
  <si>
    <t>flame_barrier</t>
  </si>
  <si>
    <t>SK_ELM_004</t>
  </si>
  <si>
    <t>화염 장막</t>
  </si>
  <si>
    <t>타오르는 화염 장막을 둘러 자신에게 (16+방어)의 보호막을 생성하고, 1사이클 동안 (4+방어)의 피해를 돌려주는 반격을 부여한다.</t>
  </si>
  <si>
    <t>몬스터 스킬(정령계 공용: 이그니스, 이프리트)</t>
  </si>
  <si>
    <t>abyssal_veil</t>
  </si>
  <si>
    <t>SK_ELM_005</t>
  </si>
  <si>
    <t>심해의 장막</t>
  </si>
  <si>
    <t>심해의 물결로 몸을 감싸 자신에게 (15+방어)의 보호막을 생성하고, 1사이클 동안 피격 시 받은 피해의 30%를 회복하는 흡수를 부여한다.</t>
  </si>
  <si>
    <t>몬스터 스킬(정령계 공용: 운디네, 네레이드, 나이아드)</t>
  </si>
  <si>
    <t>flame_baptism</t>
  </si>
  <si>
    <t>SK_ELM_006</t>
  </si>
  <si>
    <t>화염 세례</t>
  </si>
  <si>
    <t>불길을 쏟아부어 적 전체에게 (12+공격)의 피해를 입히고, 2사이클 동안 허점(용암) 1을 부여한다.</t>
  </si>
  <si>
    <t>몬스터 스킬(정령계: 샐러맨더)</t>
  </si>
  <si>
    <t>lava_eruption</t>
  </si>
  <si>
    <t>SK_ELM_007</t>
  </si>
  <si>
    <t>용암 분출</t>
  </si>
  <si>
    <t>StatusLavaAll</t>
  </si>
  <si>
    <t>바닥에서 용암을 분출시켜 적 전체에게 2사이클 동안 방어가 2 하락하는 허점(용암)을 부여한다.</t>
  </si>
  <si>
    <t>water_of_life</t>
  </si>
  <si>
    <t>SK_ELM_008</t>
  </si>
  <si>
    <t>생명의 물방울</t>
  </si>
  <si>
    <t>생명의 물방울로 자신의 체력을 (16+방어)만큼 회복하고, 2사이클 동안 견고(가호) 1을 부여한다.</t>
  </si>
  <si>
    <t>몬스터 스킬(정령계: 운디네)</t>
  </si>
  <si>
    <t>gale_slash</t>
  </si>
  <si>
    <t>SK_ELM_009</t>
  </si>
  <si>
    <t>돌풍 베기</t>
  </si>
  <si>
    <t>회오리치는 돌풍으로 적 전체를 베어 (16+공격)의 피해를 입힌다.</t>
  </si>
  <si>
    <t>몬스터 스킬(정령계: 실프)</t>
  </si>
  <si>
    <t>sharp_wind</t>
  </si>
  <si>
    <t>SK_ELM_010</t>
  </si>
  <si>
    <t>날카로운 바람</t>
  </si>
  <si>
    <t>날카로운 바람을 몸에 감아 자신의 공격을 2 증가시키는 용기를 부여한다.</t>
  </si>
  <si>
    <t>petrify_skin</t>
  </si>
  <si>
    <t>SK_ELM_011</t>
  </si>
  <si>
    <t>암석화</t>
  </si>
  <si>
    <t>IronWallSelf</t>
  </si>
  <si>
    <t>피부를 암석처럼 굳혀 2사이클 동안 자신이 받는 피해가 2 감소하는 철벽을 부여한다.</t>
  </si>
  <si>
    <t>몬스터 스킬(정령계: 노움)</t>
  </si>
  <si>
    <t>flash_bolt</t>
  </si>
  <si>
    <t>SK_ELM_012</t>
  </si>
  <si>
    <t>섬광탄</t>
  </si>
  <si>
    <t>빛의 구체로 적 전체에게 (12+공격)의 피해를 입히고, 1사이클 동안 허약(얼음) 1을 부여한다.</t>
  </si>
  <si>
    <t>몬스터 스킬(정령계: 위스프)</t>
  </si>
  <si>
    <t>blinding_flash</t>
  </si>
  <si>
    <t>SK_ELM_013</t>
  </si>
  <si>
    <t>눈부신 섬광</t>
  </si>
  <si>
    <t>BlindnessSelf</t>
  </si>
  <si>
    <t>섬광으로 시야를 가려 1사이클 동안 자신이 받는 피해가 1로 고정되는 불굴(실명)을 부여한다.</t>
  </si>
  <si>
    <t>shadow_strike</t>
  </si>
  <si>
    <t>SK_ELM_014</t>
  </si>
  <si>
    <t>그림자 습격</t>
  </si>
  <si>
    <t>그림자 속에서 습격하여 적 전체에게 (12+공격)의 피해를 입히고, 1사이클 동안 과욕(어둠) 1을 부여한다.</t>
  </si>
  <si>
    <t>몬스터 스킬(정령계: 셰이드)</t>
  </si>
  <si>
    <t>dark_erosion</t>
  </si>
  <si>
    <t>SK_ELM_015</t>
  </si>
  <si>
    <t>어둠 침식</t>
  </si>
  <si>
    <t>StatusDarkAll</t>
  </si>
  <si>
    <t>어둠의 기운으로 침식시켜 적 전체에게 2사이클 동안 에너지 소모량이 1 증가하는 과욕(어둠)을 부여한다.</t>
  </si>
  <si>
    <t>icicle_hurl</t>
  </si>
  <si>
    <t>SK_ELM_016</t>
  </si>
  <si>
    <t>고드름 투척</t>
  </si>
  <si>
    <t>날카로운 고드름을 날려 적 전체에게 (12+공격)의 피해를 입히고, 2사이클 동안 허약(얼음) 1을 부여한다.</t>
  </si>
  <si>
    <t>몬스터 스킬(정령계: 프로스트)</t>
  </si>
  <si>
    <t>frost_armor</t>
  </si>
  <si>
    <t>SK_ELM_017</t>
  </si>
  <si>
    <t>빙결 갑옷</t>
  </si>
  <si>
    <t>얼음 갑옷을 둘러 자신에게 (13+방어)의 보호막을 생성하고, 2사이클 동안 견고(가호) 1을 부여한다.</t>
  </si>
  <si>
    <t>freezing_breath</t>
  </si>
  <si>
    <t>SK_ELM_018</t>
  </si>
  <si>
    <t>혹한의 숨결</t>
  </si>
  <si>
    <t>혹한의 냉기를 내뿜어 적 전체에게 2사이클 동안 공격이 2 하락하는 허약(얼음)을 부여한다.</t>
  </si>
  <si>
    <t>searing_wave</t>
  </si>
  <si>
    <t>SK_ELM_019</t>
  </si>
  <si>
    <t>작열파</t>
  </si>
  <si>
    <t>작열하는 화염 파동을 날려 적 전체에게 (17+공격)의 피해를 입히고, 2사이클 동안 스킬 에너지 사용 시 3 피해를 입는 내상을 부여한다.</t>
  </si>
  <si>
    <t>몬스터 스킬(정령계)(가디언: 이그니스)</t>
  </si>
  <si>
    <t>spalling</t>
  </si>
  <si>
    <t>SK_ELM_020</t>
  </si>
  <si>
    <t>폭렬</t>
  </si>
  <si>
    <t>StatusInternalInjuryAll</t>
  </si>
  <si>
    <t>내부에서 열기를 폭발시켜 적 전체에게 2사이클 동안 스킬 에너지 사용 시 5 피해를 입는 내상을 부여한다.</t>
  </si>
  <si>
    <t>torrent_smash</t>
  </si>
  <si>
    <t>SK_ELM_021</t>
  </si>
  <si>
    <t>급류 강타</t>
  </si>
  <si>
    <t>HitAllEnemiesFloodingAll</t>
  </si>
  <si>
    <t>Flooding</t>
  </si>
  <si>
    <t>거센 급류로 몰아쳐 적 전체에게 (17+공격)의 피해를 입히고, 2사이클 동안 허약(침수) 2를 부여한다.</t>
  </si>
  <si>
    <t>몬스터 스킬(정령계)(가디언: 네레이드)</t>
  </si>
  <si>
    <t>water_pressure</t>
  </si>
  <si>
    <t>SK_ELM_022</t>
  </si>
  <si>
    <t>수압탄</t>
  </si>
  <si>
    <t>StatusFloodingAll</t>
  </si>
  <si>
    <t>고압의 물줄기를 쏘아 적 전체에게 2사이클 동안 공격이 3 하락하는 허약(침수)을 부여한다.</t>
  </si>
  <si>
    <t>tempest_slash</t>
  </si>
  <si>
    <t>SK_ELM_023</t>
  </si>
  <si>
    <t>폭풍 참격</t>
  </si>
  <si>
    <t>HitAllEnemiesContrarywindAll</t>
  </si>
  <si>
    <t>Contrarywind</t>
  </si>
  <si>
    <t>폭풍의 칼날로 적 전체에게 (19+공격)의 피해를 입히고, 1사이클 동안 공포(역풍)를 부여한다.</t>
  </si>
  <si>
    <t>몬스터 스킬(정령계)(가디언: 진)</t>
  </si>
  <si>
    <t>whirlwind_barrier</t>
  </si>
  <si>
    <t>SK_ELM_024</t>
  </si>
  <si>
    <t>회오리 방벽</t>
  </si>
  <si>
    <t>회오리바람으로 방벽을 세워 자신에게 (16+방어)의 보호막을 생성하고, 1사이클 동안 회피가 2 증가하는 민첩을 부여한다.</t>
  </si>
  <si>
    <t>raging_headwind</t>
  </si>
  <si>
    <t>SK_ELM_025</t>
  </si>
  <si>
    <t>몰아치는 역풍</t>
  </si>
  <si>
    <t>StatusContrarywindAll</t>
  </si>
  <si>
    <t>거센 역풍을 일으켜 적 전체에게 2사이클 동안 최종 데미지가 25% 감소하는 공포(역풍)를 부여한다.</t>
  </si>
  <si>
    <t>earth_shatter</t>
  </si>
  <si>
    <t>SK_ELM_026</t>
  </si>
  <si>
    <t>대지 분쇄</t>
  </si>
  <si>
    <t>대지를 내리찍어 적 전체에게 (20+공격)의 피해를 입히고, 2사이클 동안 허점(용암) 2를 부여한다.</t>
  </si>
  <si>
    <t>몬스터 스킬(정령계)(가디언: 클레이)</t>
  </si>
  <si>
    <t>fortification</t>
  </si>
  <si>
    <t>SK_ELM_027</t>
  </si>
  <si>
    <t>요새화</t>
  </si>
  <si>
    <t>몸체를 성채처럼 굳혀 2사이클 동안 자신이 받는 피해가 3 감소하는 철벽을 부여한다.</t>
  </si>
  <si>
    <t>hellfire_strike</t>
  </si>
  <si>
    <t>SK_ELM_028</t>
  </si>
  <si>
    <t>업화의 일격</t>
  </si>
  <si>
    <t>타오르는 업화의 일격으로 적 전체에게 (26+공격)의 피해를 입히고, 2사이클 동안 허점(용암) 2를 부여한다.</t>
  </si>
  <si>
    <t>몬스터 스킬(정령계)(보스: 이프리트)</t>
  </si>
  <si>
    <t>incarnate_roar</t>
  </si>
  <si>
    <t>SK_ELM_029</t>
  </si>
  <si>
    <t>화신의 포효</t>
  </si>
  <si>
    <t>불의 정령왕이 포효하여 2사이클 동안 자신의 공격을 3 증가시키는 용기를 부여한다.</t>
  </si>
  <si>
    <t>purifying_tidal</t>
  </si>
  <si>
    <t>SK_ELM_030</t>
  </si>
  <si>
    <t>정화의 해일</t>
  </si>
  <si>
    <t>정화의 해일을 일으켜 적 전체에게 (20+공격)의 피해를 입히고, 자신의 체력을 (12+방어)만큼 회복한다.</t>
  </si>
  <si>
    <t>몬스터 스킬(정령계)(보스: 나이아드), SecondaryValue=자가 회복량</t>
  </si>
  <si>
    <t>purifying_maelstrom</t>
  </si>
  <si>
    <t>SK_ELM_031</t>
  </si>
  <si>
    <t>정화의 소용돌이</t>
  </si>
  <si>
    <t>HitAllEnemiesHealSelfIceAll</t>
  </si>
  <si>
    <t>소용돌이치는 물결로 적 전체에게 (15+공격)의 피해를 입히고 자신의 체력을 (10+방어)만큼 회복한 뒤, 2사이클 동안 허약(얼음) 2를 부여한다.</t>
  </si>
  <si>
    <t>celestial_flurry</t>
  </si>
  <si>
    <t>SK_ELM_032</t>
  </si>
  <si>
    <t>천공의 난무</t>
  </si>
  <si>
    <t>하늘을 가르는 연속 바람 칼날로 적 전체에게 (4+공격)의 피해를 4회 입힌다.</t>
  </si>
  <si>
    <t>몬스터 스킬(정령계)(보스: 실피드)</t>
  </si>
  <si>
    <t>zephyr_wings</t>
  </si>
  <si>
    <t>SK_ELM_033</t>
  </si>
  <si>
    <t>제피로스의 날개</t>
  </si>
  <si>
    <t>바람의 날개로 몸을 감싸 자신에게 (23+방어)의 보호막을 생성한다.</t>
  </si>
  <si>
    <t>blade_wind</t>
  </si>
  <si>
    <t>SK_ELM_034</t>
  </si>
  <si>
    <t>칼바람</t>
  </si>
  <si>
    <t>매서운 칼바람을 일으켜 2사이클 동안 자신의 공격을 3 증가시키는 용기를 부여한다.</t>
  </si>
  <si>
    <t>tectonic_shift</t>
  </si>
  <si>
    <t>SK_ELM_035</t>
  </si>
  <si>
    <t>지각 변동</t>
  </si>
  <si>
    <t>지각을 뒤흔들어 적 전체에게 (20+공격)의 피해를 입히고, 자신에게 (25+방어)의 보호막을 생성한다.</t>
  </si>
  <si>
    <t>몬스터 스킬(정령계)(보스: 오레아드), SecondaryValue=획득 보호막 수치</t>
  </si>
  <si>
    <t>citadel</t>
  </si>
  <si>
    <t>SK_ELM_036</t>
  </si>
  <si>
    <t>철옹성</t>
  </si>
  <si>
    <t>바위 성벽을 세워 자신에게 (22+방어)의 보호막을 생성하고, 2사이클 동안 받는 피해가 3 감소하는 철벽을 부여한다.</t>
  </si>
  <si>
    <t>몬스터 스킬(정령계)(보스: 오레아드)</t>
  </si>
  <si>
    <t>judgment_of_earth</t>
  </si>
  <si>
    <t>SK_ELM_037</t>
  </si>
  <si>
    <t>대지의 심판</t>
  </si>
  <si>
    <t>대지의 힘으로 심판을 내려 적 전체에게 (24+공격)의 피해를 입히고 (19+방어)의 보호막을 얻은 뒤, 1사이클 동안 받는 피해가 1로 고정되는 강철을 부여한다.</t>
  </si>
  <si>
    <t>heat_headbutt</t>
  </si>
  <si>
    <t>SK_LAV_001</t>
  </si>
  <si>
    <t>마그마 러쉬</t>
  </si>
  <si>
    <t>열기를 두르고 돌진하여 적 전체에게 (5+공격)의 피해를 입힌다.</t>
  </si>
  <si>
    <t>몬스터 스킬(용암 지대 공용: 바살트 터틀, 설퍼 리자드)</t>
  </si>
  <si>
    <t>magma_bolt</t>
  </si>
  <si>
    <t>SK_LAV_002</t>
  </si>
  <si>
    <t>마그마 탄환</t>
  </si>
  <si>
    <t>마그마 탄환을 발사하여 적 전체에게 (4+공격)의 피해를 입히고, 1사이클 동안 허점(용암) 1을 부여한다.</t>
  </si>
  <si>
    <t>몬스터 스킬(용암 지대: 마그마 임프)</t>
  </si>
  <si>
    <t>volcanic_wall</t>
  </si>
  <si>
    <t>SK_LAV_003</t>
  </si>
  <si>
    <t>화산암 방벽</t>
  </si>
  <si>
    <t>화산암으로 방벽을 세워 자신에게 (5+방어)의 보호막을 생성한다.</t>
  </si>
  <si>
    <t>몬스터 스킬(용암 지대 공용: 마그마 임프, 애쉬 하운드, 신더 배트, 설퍼 리자드)</t>
  </si>
  <si>
    <t>basalt_harden</t>
  </si>
  <si>
    <t>SK_LAV_004</t>
  </si>
  <si>
    <t>현무암 경화</t>
  </si>
  <si>
    <t>현무암 외피를 굳혀 자신에게 (6+방어)의 보호막을 생성한다.</t>
  </si>
  <si>
    <t>몬스터 스킬(용암 지대 공용: 바살트 터틀, 라바 크랩, 마그마 골렘)</t>
  </si>
  <si>
    <t>lava_puddle</t>
  </si>
  <si>
    <t>SK_LAV_005</t>
  </si>
  <si>
    <t>임프의 불꽃</t>
  </si>
  <si>
    <t>불꽃으로 용암 웅덩이를 퍼뜨려 적 전체에게 1사이클 동안 방어가 2 하락하는 허점(용암)을 부여한다.</t>
  </si>
  <si>
    <t>double_bite</t>
  </si>
  <si>
    <t>SK_LAV_006</t>
  </si>
  <si>
    <t>연속 물기</t>
  </si>
  <si>
    <t>재빠르게 두 번 물어뜯어 적 전체에게 (3+공격)의 피해를 2회 입힌다.</t>
  </si>
  <si>
    <t>몬스터 스킬(용암 지대: 애쉬 하운드)</t>
  </si>
  <si>
    <t>wild_howl</t>
  </si>
  <si>
    <t>SK_LAV_007</t>
  </si>
  <si>
    <t>하울링</t>
  </si>
  <si>
    <t>울음소리를 퍼뜨려 1사이클 동안 아군 전체의 공격을 1 증가시킨다.</t>
  </si>
  <si>
    <t>shell_crouch</t>
  </si>
  <si>
    <t>SK_LAV_008</t>
  </si>
  <si>
    <t>웅크리기</t>
  </si>
  <si>
    <t>등껍질 속으로 몸을 웅크려 1사이클 동안 자신이 받는 피해가 1 감소하는 철벽을 부여한다.</t>
  </si>
  <si>
    <t>몬스터 스킬(용암 지대: 바살트 터틀)</t>
  </si>
  <si>
    <t>ember_scatter</t>
  </si>
  <si>
    <t>SK_LAV_009</t>
  </si>
  <si>
    <t>불티 날리기</t>
  </si>
  <si>
    <t>뜨거운 불티를 흩뿌려 적 전체에게 (6+공격)의 피해를 입힌다.</t>
  </si>
  <si>
    <t>몬스터 스킬(용암 지대: 신더 배트)</t>
  </si>
  <si>
    <t>choking_ash</t>
  </si>
  <si>
    <t>SK_LAV_010</t>
  </si>
  <si>
    <t>화산재 날리기</t>
  </si>
  <si>
    <t>화산재를 흩날려 시야를 가리고 1사이클 동안 자신의 회피를 1 증가시킨다.</t>
  </si>
  <si>
    <t>sulfur_gas</t>
  </si>
  <si>
    <t>SK_LAV_011</t>
  </si>
  <si>
    <t>유황 분출</t>
  </si>
  <si>
    <t>유황 가스를 분출하여 적 전체에게 (4+공격)의 피해를 입히고, 1사이클 동안 과욕(산성) 1을 부여한다.</t>
  </si>
  <si>
    <t>몬스터 스킬(용암 지대: 설퍼 리자드)</t>
  </si>
  <si>
    <t>obsidian_sting</t>
  </si>
  <si>
    <t>SK_LAV_012</t>
  </si>
  <si>
    <t>흑요석 독침</t>
  </si>
  <si>
    <t>흑요석 독침으로 찔러 적 전체에게 (4+공격)의 피해를 입히고, 1사이클 동안 급소를 부여한다.</t>
  </si>
  <si>
    <t>몬스터 스킬(용암 지대: 옵시디언 스콜피온)</t>
  </si>
  <si>
    <t>sharp_carapace</t>
  </si>
  <si>
    <t>SK_LAV_013</t>
  </si>
  <si>
    <t>날카로운 갑피</t>
  </si>
  <si>
    <t>외골격 갑피를 세워 자신에게 (5+방어)의 보호막을 생성한다.</t>
  </si>
  <si>
    <t>raise_spikes</t>
  </si>
  <si>
    <t>SK_LAV_014</t>
  </si>
  <si>
    <t>가시 세우기</t>
  </si>
  <si>
    <t>CounterSelf</t>
  </si>
  <si>
    <t>갑피의 가시를 곤두세워 자신에게 1사이클 동안 (2+방어)의 피해를 돌려주는 반격을 부여한다.</t>
  </si>
  <si>
    <t>pincer_guard_strike</t>
  </si>
  <si>
    <t>SK_LAV_015</t>
  </si>
  <si>
    <t>집게발 타격</t>
  </si>
  <si>
    <t>거대한 집게발로 내려쳐 적 전체에게 (4+공격)의 피해를 입히고, 자신에게 (3+방어)의 보호막을 생성한다.</t>
  </si>
  <si>
    <t>몬스터 스킬(용암 지대: 라바 크랩), SecondaryValue=획득 보호막 수치</t>
  </si>
  <si>
    <t>lava_spitting</t>
  </si>
  <si>
    <t>SK_LAV_016</t>
  </si>
  <si>
    <t>용암 뱉기</t>
  </si>
  <si>
    <t>끓어오르는 용암을 뱉어내어 적 전체에게 (4+공격)의 피해를 입히고, 1사이클 동안 허점(용암) 1을 부여한다.</t>
  </si>
  <si>
    <t>몬스터 스킬(용암 지대: 라바 크랩)</t>
  </si>
  <si>
    <t>lava_smash</t>
  </si>
  <si>
    <t>SK_LAV_017</t>
  </si>
  <si>
    <t>용암 강타</t>
  </si>
  <si>
    <t>용암이 흐르는 주먹으로 내리쳐 적 전체에게 (7+공격)의 피해를 입히고, 1사이클 동안 허점(용암) 1을 부여한다.</t>
  </si>
  <si>
    <t>몬스터 스킬(용암 지대)(가디언: 마그마 골렘)</t>
  </si>
  <si>
    <t>magma_cooling</t>
  </si>
  <si>
    <t>SK_LAV_018</t>
  </si>
  <si>
    <t>마그마 냉각</t>
  </si>
  <si>
    <t>표면의 마그마를 식혀 굳힘으로써 자신에게 1사이클 동안 받는 피해가 1로 고정되는 강철을 부여한다.</t>
  </si>
  <si>
    <t>magma_breath</t>
  </si>
  <si>
    <t>SK_LAV_019</t>
  </si>
  <si>
    <t>마그마 브레스</t>
  </si>
  <si>
    <t>마그마 브레스를 내뿜어 적 전체에게 (8+공격)의 피해를 입히고, 1사이클 동안 허점(용암) 1을 부여한다.</t>
  </si>
  <si>
    <t>몬스터 스킬(용암 지대)(가디언: 파이로 웜)</t>
  </si>
  <si>
    <t>searing_scales</t>
  </si>
  <si>
    <t>SK_LAV_020</t>
  </si>
  <si>
    <t>작열 비늘</t>
  </si>
  <si>
    <t>열기를 머금은 비늘을 세워 자신에게 (7+방어)의 보호막을 생성한다.</t>
  </si>
  <si>
    <t>heat_condense</t>
  </si>
  <si>
    <t>SK_LAV_021</t>
  </si>
  <si>
    <t>열기 응집</t>
  </si>
  <si>
    <t>체내에 화산 열기를 응집하여 1사이클 동안 자신의 공격을 2 증가시키는 용기를 부여한다.</t>
  </si>
  <si>
    <t>ash_engulf</t>
  </si>
  <si>
    <t>SK_LAV_022</t>
  </si>
  <si>
    <t>화산재 덮치기</t>
  </si>
  <si>
    <t>화산재 폭풍으로 덮쳐 적 전체에게 (7+공격)의 피해를 입히고, 1사이클 동안 공포를 부여한다.</t>
  </si>
  <si>
    <t>몬스터 스킬(용암 지대)(가디언: 애쉬 레이스)</t>
  </si>
  <si>
    <t>smoke_veil</t>
  </si>
  <si>
    <t>SK_LAV_023</t>
  </si>
  <si>
    <t>연기 장막</t>
  </si>
  <si>
    <t>자욱한 연기 장막을 둘러 자신에게 (7+방어)의 보호막을 생성한다.</t>
  </si>
  <si>
    <t>shadow_of_calamity</t>
  </si>
  <si>
    <t>SK_LAV_024</t>
  </si>
  <si>
    <t>재앙의 그림자</t>
  </si>
  <si>
    <t>불길한 재앙의 그림자를 드리워 적 전체에게 1사이클 동안 최종 데미지가 25% 감소하는 공포를 부여한다.</t>
  </si>
  <si>
    <t>flame_tail_sweep</t>
  </si>
  <si>
    <t>SK_LAV_025</t>
  </si>
  <si>
    <t>화염 꼬리</t>
  </si>
  <si>
    <t>불타는 꼬리를 휘둘러 적 전체에게 (9+공격)의 피해를 입힌다.</t>
  </si>
  <si>
    <t>몬스터 스킬(용암 지대)(가디언: 볼케이노 샐러맨더)</t>
  </si>
  <si>
    <t>lava_carapace</t>
  </si>
  <si>
    <t>SK_LAV_026</t>
  </si>
  <si>
    <t>용암 외피</t>
  </si>
  <si>
    <t>용암 외피를 두껍게 둘러 자신에게 (8+방어)의 보호막을 생성한다.</t>
  </si>
  <si>
    <t>lava_inundation</t>
  </si>
  <si>
    <t>SK_LAV_027</t>
  </si>
  <si>
    <t>용암 잠식</t>
  </si>
  <si>
    <t>HealSelf</t>
  </si>
  <si>
    <t>주변의 용암 열기를 흡수하여 자신의 체력을 (6+방어)만큼 회복한다.</t>
  </si>
  <si>
    <t>imperfect_searing_wave</t>
  </si>
  <si>
    <t>SK_LAV_028</t>
  </si>
  <si>
    <t>불완전한 작열파</t>
  </si>
  <si>
    <t>불안정한 화염 파동을 방출하여 적 전체에게 (10+공격)의 피해를 입히고, 1사이클 동안 스킬 에너지 사용 시 2 피해를 입는 내상을 부여한다.</t>
  </si>
  <si>
    <t>몬스터 스킬(용암 지대)(보스: 약화된 이그니스)</t>
  </si>
  <si>
    <t>unstable_heat_barrier</t>
  </si>
  <si>
    <t>SK_LAV_029</t>
  </si>
  <si>
    <t>불안정한 열기 장막</t>
  </si>
  <si>
    <t>일렁이는 열기 장막을 펼쳐 자신에게 (11+방어)의 보호막을 생성한다.</t>
  </si>
  <si>
    <t>rift_flame</t>
  </si>
  <si>
    <t>SK_LAV_030</t>
  </si>
  <si>
    <t>균열의 불길</t>
  </si>
  <si>
    <t>대지의 균열에서 불길을 솟구치게 하여 적 전체에게 (8+공격)의 피해를 입히고, 1사이클 동안 허점(용암) 2를 부여한다.</t>
  </si>
  <si>
    <t>great_eruption</t>
  </si>
  <si>
    <t>SK_LAV_031</t>
  </si>
  <si>
    <t>대분화</t>
  </si>
  <si>
    <t>분화구에서 화산재를 폭발시켜 적 전체에게 (12+공격)의 피해를 입히고, 1사이클 동안 허점(용암) 2를 부여한다.</t>
  </si>
  <si>
    <t>몬스터 스킬(용암 지대)(보스: 볼카누스)</t>
  </si>
  <si>
    <t>caldera_armor</t>
  </si>
  <si>
    <t>SK_LAV_032</t>
  </si>
  <si>
    <t>칼데라의 갑주</t>
  </si>
  <si>
    <t>분화구 암석으로 갑주를 둘러 자신에게 (13+방어)의 보호막을 생성한다.</t>
  </si>
  <si>
    <t>volcanic_bombardment</t>
  </si>
  <si>
    <t>SK_LAV_033</t>
  </si>
  <si>
    <t>화산탄 폭격</t>
  </si>
  <si>
    <t>화산탄을 연속으로 쏘아 올려 적 전체에게 (4+공격)의 피해를 3회 입힌다.</t>
  </si>
  <si>
    <t>스킬 데이터 필드 가이드</t>
  </si>
  <si>
    <t>Skill_DataTable 시트의 각 컬럼(변수) 설명. 언리얼 FTableRowBase 구조체 필드로 그대로 매핑 가능하도록 설계함.</t>
  </si>
  <si>
    <t>Field(변수명)</t>
  </si>
  <si>
    <t>DataType</t>
  </si>
  <si>
    <t>설명</t>
  </si>
  <si>
    <t>허용 값 / 예시</t>
  </si>
  <si>
    <t>Name(FName)</t>
  </si>
  <si>
    <t>언리얼 DataTable의 고유 행 이름. 다른 테이블에서 참조하는 키.</t>
  </si>
  <si>
    <t>예: monk_attack (영문 소문자+언더바 권장)</t>
  </si>
  <si>
    <t>FString</t>
  </si>
  <si>
    <t>기획/기획서 추적용 스킬 고유 코드.</t>
  </si>
  <si>
    <t>예: SK_MONK_001</t>
  </si>
  <si>
    <t>FText</t>
  </si>
  <si>
    <t>UI에 표시될 한글 스킬명.</t>
  </si>
  <si>
    <t>예: 공격 태세</t>
  </si>
  <si>
    <t>Enum(ECharClass)</t>
  </si>
  <si>
    <t>이 스킬을 보유한 캐릭터 클래스. 공용 스킬은 Common.</t>
  </si>
  <si>
    <t>Monk / Engineer / Paladin / Assassin / Common</t>
  </si>
  <si>
    <t>Enum(ESkillCategory)</t>
  </si>
  <si>
    <t>PDF 기준 스킬 분류.</t>
  </si>
  <si>
    <t>Basic(기본) / Common(공용) / Personal(개인)</t>
  </si>
  <si>
    <t>Enum(ESkillType)</t>
  </si>
  <si>
    <t>스킬 분류 — 행동형인지 특수형인지.</t>
  </si>
  <si>
    <t>Attack(공격) / Defense(방어) / Special(특수)</t>
  </si>
  <si>
    <t>Enum(ESkillTier)</t>
  </si>
  <si>
    <t>PDF 기준 획득 가능 층 등급(별 색상).</t>
  </si>
  <si>
    <t>Surface(표층/회색) / Mid(중층/노랑) / Deep(심층/빨강)</t>
  </si>
  <si>
    <t>Enum(EActionKind)</t>
  </si>
  <si>
    <t>실제 효과 실행 로직 종류. Enum_Reference 시트 참고.</t>
  </si>
  <si>
    <t>예: HitEnemy, ShieldSelf, HealAlly 등 20종</t>
  </si>
  <si>
    <t>Enum(ETargetType)</t>
  </si>
  <si>
    <t>스킬의 대상 지정 방식.</t>
  </si>
  <si>
    <t>Self / SingleEnemy / AllEnemies / SingleAlly / AllAllies</t>
  </si>
  <si>
    <t>int32</t>
  </si>
  <si>
    <t>기본 행동 에너지 소모량(매 턴 3까지 회복).</t>
  </si>
  <si>
    <t>보통 1</t>
  </si>
  <si>
    <t>강화 에너지(획득 스킬 전용 자원) 소모량. 기본 스킬은 0.</t>
  </si>
  <si>
    <t>보통 0(기본) 또는 1(공용/개인)</t>
  </si>
  <si>
    <t>피해/보호막/회복의 기본 수치(스탯 보정 전).</t>
  </si>
  <si>
    <t>예: 5</t>
  </si>
  <si>
    <t>Enum(EScalingStat)</t>
  </si>
  <si>
    <t>BaseValue에 더해지는 보정 스탯.</t>
  </si>
  <si>
    <t>ATK / DEF / None</t>
  </si>
  <si>
    <t>float</t>
  </si>
  <si>
    <t>보정 스탯 반영 비율. 기본 1.0 = (BaseValue + Stat*1.0).</t>
  </si>
  <si>
    <t>기본값 1.0</t>
  </si>
  <si>
    <t>공격이 적용되는 타수. 1이면 단타.</t>
  </si>
  <si>
    <t>예: 2 (2회 타격)</t>
  </si>
  <si>
    <t>보조 효과 수치. 예: 광역 피해 계수, 부가 회복량 등.</t>
  </si>
  <si>
    <t>0이면 사용 안 함</t>
  </si>
  <si>
    <t>Enum(EStatusEffect)</t>
  </si>
  <si>
    <t>부가로 부여되는 상태 효과.</t>
  </si>
  <si>
    <t>None / Poison / Mark / EvasionBuff / Counter / SelfDamage</t>
  </si>
  <si>
    <t>상태 효과의 수치(중독 스택 수 등).</t>
  </si>
  <si>
    <t>0이면 해당 없음</t>
  </si>
  <si>
    <t>상태 효과 지속 사이클 수.</t>
  </si>
  <si>
    <t>단위: 사이클, -1이면 영구 지속(전투 종료시까지)</t>
  </si>
  <si>
    <t>시전자가 대가로 받는 반동 피해.</t>
  </si>
  <si>
    <t>0이면 없음</t>
  </si>
  <si>
    <t>FString(Asset Tag)</t>
  </si>
  <si>
    <t>UI 아이콘 에셋 참조 태그(언리얼 Texture2D 경로/태그).</t>
  </si>
  <si>
    <t>예: T_Icon_Monk_Attack</t>
  </si>
  <si>
    <t>재생할 애니메이션 몽타주 참조 태그.</t>
  </si>
  <si>
    <t>예: AM_Monk_Punch</t>
  </si>
  <si>
    <t>이펙트(나이아가라/캐스케이드) 참조 태그.</t>
  </si>
  <si>
    <t>예: VFX_Monk_DoubleHit</t>
  </si>
  <si>
    <t>사운드 큐 참조 태그.</t>
  </si>
  <si>
    <t>예: SFX_Monk_Punch</t>
  </si>
  <si>
    <t>툴팁에 노출되는 한글 설명 문구.</t>
  </si>
  <si>
    <t>예: 1명의 적에게 (3+공격) 피해를 2회 준다.</t>
  </si>
  <si>
    <t>기획 의도, 패시브 상호작용, 확정 필요 사항 등 비고.</t>
  </si>
  <si>
    <t>예: 보호막 관통 패시브와 상호작용</t>
  </si>
  <si>
    <t>던전 상점에서 스킬 구매 시 필요한 던전 재화 가격 (유물 기준가 수식의 1/10 적용, 기본/몬스터 스킬은 0).</t>
  </si>
  <si>
    <t>예: 표층 30~35 / 중층 50~55 / 심층 65~70</t>
  </si>
  <si>
    <t>던전 상점 등에서 스킬 판매 시 얻는 던전 재화 가격 (던전 구매가의 70%, 5단위 반올림).</t>
  </si>
  <si>
    <t>예: 표층 20~25 / 중층 35~40 / 심층 45~50</t>
  </si>
  <si>
    <t>기타 Enum</t>
  </si>
  <si>
    <t>값 목록</t>
  </si>
  <si>
    <t>Monk, Engineer, Paladin, Assassin, Common</t>
  </si>
  <si>
    <t>Basic, Common, Personal</t>
  </si>
  <si>
    <t>Attack, Defense, Special</t>
  </si>
  <si>
    <t>Surface, Mid, Deep</t>
  </si>
  <si>
    <t>Self, SingleEnemy, AllEnemies, SingleAlly, AllAllies</t>
  </si>
  <si>
    <t>ATK, DEF, None</t>
  </si>
  <si>
    <t>None, Poison, Mark, EvasionBuff, Counter, SelfDamage</t>
  </si>
  <si>
    <t>Enum 값 레퍼런스</t>
  </si>
  <si>
    <t>ActionKind에 새 스킬을 추가할 때 사용할 수 있는 실행 로직 종류와 각 로직이 어떤 변수를 쓰는지 정리.</t>
  </si>
  <si>
    <t>사용하는 주요 필드</t>
  </si>
  <si>
    <t>TargetType 예시</t>
  </si>
  <si>
    <t>참조 ActionKind</t>
  </si>
  <si>
    <t>비고</t>
  </si>
  <si>
    <t>RelicTier</t>
  </si>
  <si>
    <t>적 1명에게 단일 피해</t>
  </si>
  <si>
    <t>BaseValue, ScalingStat</t>
  </si>
  <si>
    <t>가장 기본적인 단일 공격</t>
  </si>
  <si>
    <t>적 1명에게 다단 피해</t>
  </si>
  <si>
    <t>BaseValue, HitCount, ScalingStat</t>
  </si>
  <si>
    <t>HitEnemy * HitCount</t>
  </si>
  <si>
    <t>타수만큼 반복 적용</t>
  </si>
  <si>
    <t>적 1명 주 피해 + 전체 적 광역 피해</t>
  </si>
  <si>
    <t>BaseValue(주피해), SecondaryValue(광역)</t>
  </si>
  <si>
    <t>HitEnemy + HitAllEnemies</t>
  </si>
  <si>
    <t>선택 대상은 주 피해만, 광역은 자동으로 전체 적</t>
  </si>
  <si>
    <t>전체 적에게 동일 피해</t>
  </si>
  <si>
    <t>대상 선택 불필요</t>
  </si>
  <si>
    <t>StatusMark</t>
  </si>
  <si>
    <t>적 1명에게 급소 부여</t>
  </si>
  <si>
    <t>StatusEffect=Mark, StatusValue, StatusDuration</t>
  </si>
  <si>
    <t>선택한 대상에게 표식(급소 지정 버프)</t>
  </si>
  <si>
    <t>Upgrade</t>
  </si>
  <si>
    <t>StatusPoison</t>
  </si>
  <si>
    <t>적 1명에게 중독 부여</t>
  </si>
  <si>
    <t>StatusEffect=Poison, StatusValue, StatusDuration</t>
  </si>
  <si>
    <t>선택한 대상에게 중독 부여</t>
  </si>
  <si>
    <t>적 1명 피해 + 급소 부여</t>
  </si>
  <si>
    <t>BaseValue, StatusEffect=Mark, StatusValue, StatusDuration</t>
  </si>
  <si>
    <t>HitEnemy + StatusMark</t>
  </si>
  <si>
    <t>표식 대상은 추가 피해 등 후속 효과 확장 가능</t>
  </si>
  <si>
    <t>적 1명 피해 + 중독 부여</t>
  </si>
  <si>
    <t>BaseValue, StatusEffect=Poison, StatusValue, StatusDuration</t>
  </si>
  <si>
    <t>HitEnemy + StatusPoison</t>
  </si>
  <si>
    <t>매 사이클 종료 시 중독 수치만큼 도트 피해</t>
  </si>
  <si>
    <t>Quest</t>
  </si>
  <si>
    <t>DmgSelf</t>
  </si>
  <si>
    <t>시전자 반동 피해</t>
  </si>
  <si>
    <t>자체 뎀</t>
  </si>
  <si>
    <t>적 1명 피해 + 시전자 반동 피해</t>
  </si>
  <si>
    <t>BaseValue, SelfDamage</t>
  </si>
  <si>
    <t>HitEnemy + DmgSelf</t>
  </si>
  <si>
    <t>고위험 고보상 스킬</t>
  </si>
  <si>
    <t>자신에게 보호막 생성</t>
  </si>
  <si>
    <t>자신 반격 부여</t>
  </si>
  <si>
    <t>BaseValue, StatusEffect=Counter, StatusDuration, SecondaryValue</t>
  </si>
  <si>
    <t>반격 상태 동안 피격 시 자동 반격, SecoundaryValue 만큼의 데미지 부여</t>
  </si>
  <si>
    <t>자신 보호막 + 반격 부여</t>
  </si>
  <si>
    <t>BaseValue, StatusEffect=Counter, StatusDuration</t>
  </si>
  <si>
    <t>ShieldSelf + CounterSelf</t>
  </si>
  <si>
    <t>반격 상태 동안 피격 시 자동 반격</t>
  </si>
  <si>
    <t>아군 전체에게 보호막 생성</t>
  </si>
  <si>
    <t>아군 1명 회복</t>
  </si>
  <si>
    <t>아군 전체 회복</t>
  </si>
  <si>
    <t>자신 회피 수치 증가(사이클 한정)</t>
  </si>
  <si>
    <t>StatusEffect=Evasion, StatusValue, StatusDuration</t>
  </si>
  <si>
    <t>1사이클 동안 회피를 StatusValue만큼 증가시킨다.</t>
  </si>
  <si>
    <t>StatusPoisonAll</t>
  </si>
  <si>
    <t>전체 적 중독 부여</t>
  </si>
  <si>
    <t>자신 회피 증가 + 전체 적 중독 부여</t>
  </si>
  <si>
    <t>EvasionSelf + PoisonAll</t>
  </si>
  <si>
    <t>자신 회피 증가 후 전체 적에게 중독 부여</t>
  </si>
  <si>
    <t>즉시 행동 에너지 회복</t>
  </si>
  <si>
    <t>즉시 발동, 소모 자원 회복형 스킬</t>
  </si>
  <si>
    <t>Reflux</t>
  </si>
  <si>
    <t>자신에게 용기 부여</t>
  </si>
  <si>
    <t>StatusEffect=Brave, StatusValue, StatusDuration</t>
  </si>
  <si>
    <t>자신의 공격력을 StatusValue만큼 증가</t>
  </si>
  <si>
    <t>Vitality</t>
  </si>
  <si>
    <t>아군 전체에게 용기 부여</t>
  </si>
  <si>
    <t>아군 전체의 공격력을 StatusValue만큼 증가</t>
  </si>
  <si>
    <t>Immortality</t>
  </si>
  <si>
    <t>HitEnemyProtect</t>
  </si>
  <si>
    <t>적 1명에게 단일 피해 + 방어 상승</t>
  </si>
  <si>
    <t>BaseValue, ScalingStat, StatusEffect=Protection, StatusValue, StatusDuration</t>
  </si>
  <si>
    <t>HitEnemy + ProtectSelf</t>
  </si>
  <si>
    <t>적 1명 공격 후 자신의 방어를 StatusValue만큼 증가</t>
  </si>
  <si>
    <t>ProtectSelf</t>
  </si>
  <si>
    <t>자신의 방어 상승</t>
  </si>
  <si>
    <t>StatusEffect=Protection, StatusValue, StatusDuration</t>
  </si>
  <si>
    <t>자신의 방어를 StatusValue만큼 증가</t>
  </si>
  <si>
    <t>적 공격 후 보호막 획득</t>
  </si>
  <si>
    <t>BaseValue, ScalingStat, SecondaryValue</t>
  </si>
  <si>
    <t>HitEnemy + ShieldSelf</t>
  </si>
  <si>
    <t>적 1명 공격 후 자신의 보호막을 SecondaryValue만큼 획득</t>
  </si>
  <si>
    <t>StatusLava</t>
  </si>
  <si>
    <t>적 1명에게 용암 상태이상 부여</t>
  </si>
  <si>
    <t>StatusEffect=Lava, StatusValue, StatusDuration</t>
  </si>
  <si>
    <t>방어를 StatusValue만큼 하락시키는 용암 디버프를 부여한다.</t>
  </si>
  <si>
    <t>적 전체에게 용암 상태이상 부여</t>
  </si>
  <si>
    <t>적 전체에게 방어를 StatusValue만큼 하락시키는 용암 디버프를 부여한다.</t>
  </si>
  <si>
    <t>Spirit</t>
  </si>
  <si>
    <t>StatusIce</t>
  </si>
  <si>
    <t>적 1명에게 얼음 상태이상 부여</t>
  </si>
  <si>
    <t>StatusEffect=Ice, StatusValue, StatusDuration</t>
  </si>
  <si>
    <t>적 1명에의 공격을 StatusValue만큼 하락시키는 얼음 디버프를 부여한다.</t>
  </si>
  <si>
    <t>적 전체에게 얼음 상태이상 부여</t>
  </si>
  <si>
    <t>적 전체에게 공격을 StatusValue만큼 하락시키는 얼음 디버프를 부여한다.</t>
  </si>
  <si>
    <t>자신에게 보호막 생성 + 적 전체에게 중독 부여</t>
  </si>
  <si>
    <t>BaseValue, ScalingStat, StatusEffect=Poison, StatusValue, StatusDuration</t>
  </si>
  <si>
    <t>ShieldSelf + StatusPoisonAll</t>
  </si>
  <si>
    <t>보호막을 획득한 후, StatusValue만큼 중독을 부여한다.</t>
  </si>
  <si>
    <t>자신에게 강철 부여</t>
  </si>
  <si>
    <t>StatusEffect=Metal,  StatusDuration</t>
  </si>
  <si>
    <t>자신에게 한 사이클 동안 받는 데미지를 1로 고정되는 강철 버프를 부여한다.</t>
  </si>
  <si>
    <t>적 전체에게 단일 데미지 + 적 전체 용암 디버프</t>
  </si>
  <si>
    <t>BaseValue, ScalingStat, StatusEffect=Lava, StatusValue, StatusDuration</t>
  </si>
  <si>
    <t>HitAllEnemies + StatusLavaAll</t>
  </si>
  <si>
    <t>적 전체에게 BaseValue만큼의 피해를 입히고, StatusVaule만큼 용암을 부여</t>
  </si>
  <si>
    <t>적 전체에게 단일 데미지 + 적 전체 얼음 디버프</t>
  </si>
  <si>
    <t>BaseValue, ScalingStat, StatusEffect=Ice, StatusValue, StatusDuration</t>
  </si>
  <si>
    <t>HitAllEnemies + StatusIceAll</t>
  </si>
  <si>
    <t>적 전체에게 BaseValue만큼의 피해를 입히고, StatusVaule만큼 얼음을 부여</t>
  </si>
  <si>
    <t>적 전체에게 단일 데미지 + 적 전체 중독 디버프</t>
  </si>
  <si>
    <t>HitAllEnemies + StatusPoisonAll</t>
  </si>
  <si>
    <t>적 전체에게 BaseValue만큼의 피해를 입히고, StatusVaule만큼 중독을 부여</t>
  </si>
  <si>
    <t>StatusAcid</t>
  </si>
  <si>
    <t>적 1명에게 산성 부여</t>
  </si>
  <si>
    <t>StatusEffect=Acid, StatusValue, StatusDuration</t>
  </si>
  <si>
    <t>적 전체에게 산성 부여</t>
  </si>
  <si>
    <t>적 전체에게 단일 데미지 + 적 전체 산성 디버프</t>
  </si>
  <si>
    <t>BaseValue, ScalingStat, StatusEffect=Acid, StatusValue, StatusDuration</t>
  </si>
  <si>
    <t>HitAllEnemies + StatusAcidAll</t>
  </si>
  <si>
    <t>적 전체에게 BaseValue만큼의 피해를 입히고, StatusValue만큼 산성을 부여</t>
  </si>
  <si>
    <t>StatusFear</t>
  </si>
  <si>
    <t>적 1명에게 공포 부여</t>
  </si>
  <si>
    <t>StatusEffect=Fear, StatusValue, StatusDuration</t>
  </si>
  <si>
    <t>적 전체에게 공포 부여</t>
  </si>
  <si>
    <t>적 전체에게 단일 데미지 + 적 전체 공포 디버프</t>
  </si>
  <si>
    <t>BaseValue, ScalingStat, StatusEffect=Fear, StatusValue, StatusDuration</t>
  </si>
  <si>
    <t>HitAllEnemies + StatusFearAll</t>
  </si>
  <si>
    <t>적 전체에게 BaseValue만큼의 피해를 입히고, StatusValue만큼 공포을 부여</t>
  </si>
  <si>
    <t>StatusFusion</t>
  </si>
  <si>
    <t>적 1명에게 퓨전 부여
퓨전: 적에게 중독, 용암, 얼음 중 1가지를 랜덤으로 적용시킨다.</t>
  </si>
  <si>
    <t>StatusEffect=Fusion, StatusValue, StatusDuration</t>
  </si>
  <si>
    <t>StatusFusionAll</t>
  </si>
  <si>
    <t>적 전체에게 퓨전 부여
퓨전: 적에게 중독, 용암, 얼음 중 1가지를 랜덤으로 적용시킨다.</t>
  </si>
  <si>
    <t>적 전체에게 단일 데미지 + 적 전체 퓨전 디버프</t>
  </si>
  <si>
    <t>BaseValue, ScalingStat, StatusEffect=Fusion, StatusValue, StatusDuration</t>
  </si>
  <si>
    <t>HitAllEnemies + StatusFusionAll</t>
  </si>
  <si>
    <t>적 전체에게 BaseValue만큼의 피해를 입히고, StatusValue만큼 퓨전을 부여</t>
  </si>
  <si>
    <t>아군 전체 회복 + 아군 전체 용기 버프 부여</t>
  </si>
  <si>
    <t>BaseValue, ScalingStat, StatusEffect=Brave, StatusValue, StatusDuration</t>
  </si>
  <si>
    <t>HealAll + BraveAll</t>
  </si>
  <si>
    <t>아군 전체의 체력을 BaseValue만큼 회복하고, StatusValue만큼 용기 부여</t>
  </si>
  <si>
    <t>RevivalSelfAll</t>
  </si>
  <si>
    <t>자신 부활 (100%)</t>
  </si>
  <si>
    <t>체력의 100%만큼 부활, BaseValue만큼 부활</t>
  </si>
  <si>
    <t>RevivalSelfHalf</t>
  </si>
  <si>
    <t>자신 부활 (50%)</t>
  </si>
  <si>
    <t>체력의 50%만큼 부활, BaseValue만큼 부활</t>
  </si>
  <si>
    <t>IndomitableSelfAllyDead</t>
  </si>
  <si>
    <t>자신에게 불굴 부여 + 아군 사망시 효과 사라짐</t>
  </si>
  <si>
    <t>StatusEffect=Indomitable, StatusDuration</t>
  </si>
  <si>
    <t>자신에게 불굴 부여, 단 아군 사망 시 효과는 사라짐</t>
  </si>
  <si>
    <t>자신 회복</t>
  </si>
  <si>
    <t>자신에게 수치만큼 회복</t>
  </si>
  <si>
    <t>GainMoney</t>
  </si>
  <si>
    <t>던전 재화 획득</t>
  </si>
  <si>
    <t>자신에게 수치만큼 던전 재화 지급</t>
  </si>
  <si>
    <t>RandomUpgrade</t>
  </si>
  <si>
    <t>자신의 픽업 스킬을 +1강 강화한다.</t>
  </si>
  <si>
    <t>자신의 픽업 스킬 중 BaseValue만큼 +1강 강화한다.(BaseValue가 1이면 1개를, 3이면 랜덤으로 3번 강화)</t>
  </si>
  <si>
    <t>자신에게 불굴 부여</t>
  </si>
  <si>
    <t>StatusEffect=Indomitable,  StatusDuration</t>
  </si>
  <si>
    <t>자신에게 한 사이클 동안 받는 데미지를 1로 고정되는 불굴 버프를 부여한다.</t>
  </si>
  <si>
    <t>SolidSelf</t>
  </si>
  <si>
    <t>StatusEffect=Solid, StatusValue, StatusDuration</t>
  </si>
  <si>
    <t>MaxHPUp</t>
  </si>
  <si>
    <t>자신의 최대 체력 상승</t>
  </si>
  <si>
    <t>BaseValue만큼 최대체력 증가 (현재 체력도 동일한 수치만큼 증가)</t>
  </si>
  <si>
    <t>MaxHPDown</t>
  </si>
  <si>
    <t>자신의 최대 체력 감소</t>
  </si>
  <si>
    <t>BaseValue만큼 최대체력 감소 (현재 체력이 감소된 최대 체력보다 높다면 최대 체력까지 감소)</t>
  </si>
  <si>
    <t>적 전체에게 급소 부여</t>
  </si>
  <si>
    <t>StatusEffect=Mark, StatusDuration</t>
  </si>
  <si>
    <t>자신에게 철벽 부여</t>
  </si>
  <si>
    <t>StatusEffect=IronWall, StatusValue, StatusDuration</t>
  </si>
  <si>
    <t>데미지를 받을 경우, Status만큼 데미지가 감소되는 철벽 버프를 StatusDuration만큼 부여한다.</t>
  </si>
  <si>
    <t>적 전체에게 다단 피해</t>
  </si>
  <si>
    <t>HitAllEnemies + HitEnemyMulti</t>
  </si>
  <si>
    <t>적 전체에게 BaseValue만큼의 데미지를 HitCount 만큼 입힌다.</t>
  </si>
  <si>
    <t>아군 전체의 방어 상승</t>
  </si>
  <si>
    <t>아군 전체의 방어를 StausValue만큼 증가</t>
  </si>
  <si>
    <t>적 전체에게 단일 피해 후 보호막 획득</t>
  </si>
  <si>
    <t>HitAllEnemies + ShieldSelf</t>
  </si>
  <si>
    <t>적 전체에게 BaseValue만큼의 데미지를 입히고 SecondaryValue만큼의 보호막을 획득한다.</t>
  </si>
  <si>
    <t>적 전체에게 단일 피해 후 급소 부여</t>
  </si>
  <si>
    <t>HitAllEnemies + StatusMark</t>
  </si>
  <si>
    <t>적 전체에게 Basevalue만큼의 데미지를 입히고, 급소를 1사이클 동안 부여한다.</t>
  </si>
  <si>
    <t>자신에게 보호막 부여 후 방어 상승</t>
  </si>
  <si>
    <t>BaseValue, ScalingStat, StatusEffect=Solid, StatusValue, StatusDuration</t>
  </si>
  <si>
    <t>ShieldSelf + SolidSelf</t>
  </si>
  <si>
    <t>자신에게 BaseValue만큼의 보호막을 부여하고, 견고글 StatusValue만큼 StatusDuration동안 부여한다.</t>
  </si>
  <si>
    <t>적 1명 피해 + 용암 부여</t>
  </si>
  <si>
    <t>HitEnemy + StatusLava</t>
  </si>
  <si>
    <t>적 1명에게 피해를 입히고 방어를 하락시키는 용암(허점) 디버프 부여</t>
  </si>
  <si>
    <t>HitEnemyIce</t>
  </si>
  <si>
    <t>적 1명 피해 + 얼음 부여</t>
  </si>
  <si>
    <t>HitEnemy + StatusIce</t>
  </si>
  <si>
    <t>적 1명에게 피해를 입히고 공격을 하락시키는 얼음(허약) 디버프 부여</t>
  </si>
  <si>
    <t>HitEnemyAcid</t>
  </si>
  <si>
    <t>적 1명 피해 + 산성(과욕) 부여</t>
  </si>
  <si>
    <t>HitEnemy + StatusAcid</t>
  </si>
  <si>
    <t>적 1명에게 피해를 입히고 에너지 소모가 증가하는 산성(과욕) 디버프 부여</t>
  </si>
  <si>
    <t>HitEnemyFear</t>
  </si>
  <si>
    <t>적 1명 피해 + 공포 부여</t>
  </si>
  <si>
    <t>HitEnemy + StatusFear</t>
  </si>
  <si>
    <t>적 1명에게 피해를 입히고 최종 데미지를 감소시키는 공포 디버프 부여</t>
  </si>
  <si>
    <t>StatusInternalInjury</t>
  </si>
  <si>
    <t>적 1명에게 내상 부여</t>
  </si>
  <si>
    <t>StatusEffect=InternalInjury, StatusValue, StatusDuration</t>
  </si>
  <si>
    <t>스킬 에너지를 사용할 때마다 수치만큼 데미지를 받는 내상 디버프 부여</t>
  </si>
  <si>
    <t>적 전체에게 내상 부여</t>
  </si>
  <si>
    <t>적 전체에게 스킬 에너지를 사용할 때마다 데미지를 받는 내상 디버프 부여</t>
  </si>
  <si>
    <t>적 1명 피해 + 내상 부여</t>
  </si>
  <si>
    <t>BaseValue, ScalingStat, StatusEffect=InternalInjury, StatusValue, StatusDuration</t>
  </si>
  <si>
    <t>HitEnemy + StatusInternalInjury</t>
  </si>
  <si>
    <t>적 1명에게 피해를 입히고 내상 디버프 부여</t>
  </si>
  <si>
    <t>적 전체에게 단일 데미지 + 적 전체 내상 디버프</t>
  </si>
  <si>
    <t>HitAllEnemies + StatusInternalInjuryAll</t>
  </si>
  <si>
    <t>적 전체에게 BaseValue만큼의 피해를 입히고, StatusValue만큼 내상을 부여</t>
  </si>
  <si>
    <t>AbsorptionSelf</t>
  </si>
  <si>
    <t>자신에게 흡수 부여</t>
  </si>
  <si>
    <t>StatusEffect=Absorption, StatusValue, StatusDuration</t>
  </si>
  <si>
    <t>피격 시 받은 데미지의 StatusValue%만큼 회복하는 흡수 버프 부여</t>
  </si>
  <si>
    <t>자신에게 보호막 부여 후 흡수 부여</t>
  </si>
  <si>
    <t>BaseValue, ScalingStat, StatusEffect=Absorption, StatusValue, StatusDuration</t>
  </si>
  <si>
    <t>ShieldSelf + AbsorptionSelf</t>
  </si>
  <si>
    <t>자신에게 BaseValue만큼의 보호막을 부여하고, 피격 시 회복하는 흡수 버프 부여</t>
  </si>
  <si>
    <t>자신에게 보호막 부여 후 가호(방어 상승) 부여</t>
  </si>
  <si>
    <t>ShieldSelf + ProtectSelf</t>
  </si>
  <si>
    <t>자신에게 BaseValue만큼의 보호막을 부여하고, 가호를 StatusValue만큼 부여</t>
  </si>
  <si>
    <t>자신에게 보호막 부여 후 민첩(회피 상승) 부여</t>
  </si>
  <si>
    <t>BaseValue, ScalingStat, StatusEffect=Evasion, StatusValue, StatusDuration</t>
  </si>
  <si>
    <t>ShieldSelf + EvasionSelf</t>
  </si>
  <si>
    <t>자신에게 BaseValue만큼의 보호막을 부여하고, 민첩을 StatusValue만큼 부여</t>
  </si>
  <si>
    <t>자신에게 보호막 부여 후 철벽 부여</t>
  </si>
  <si>
    <t>BaseValue, ScalingStat, StatusEffect=IronWall, StatusValue, StatusDuration</t>
  </si>
  <si>
    <t>ShieldSelf + IronWallSelf</t>
  </si>
  <si>
    <t>자신에게 BaseValue만큼의 보호막을 부여하고, 철벽을 StatusValue만큼 부여</t>
  </si>
  <si>
    <t>자신 회복 후 가호(방어 상승) 부여</t>
  </si>
  <si>
    <t>HealSelf + ProtectSelf</t>
  </si>
  <si>
    <t>자신의 체력을 BaseValue만큼 회복하고, 가호를 StatusValue만큼 부여</t>
  </si>
  <si>
    <t>적 1명 피해 후 자신 회복</t>
  </si>
  <si>
    <t>HitEnemy + HealSelf</t>
  </si>
  <si>
    <t>적 1명에게 BaseValue만큼의 피해를 입히고, 자신의 체력을 SecondaryValue만큼 회복</t>
  </si>
  <si>
    <t>적 전체에게 단일 피해 후 자신 회복</t>
  </si>
  <si>
    <t>HitAllEnemies + HealSelf</t>
  </si>
  <si>
    <t>적 전체에게 BaseValue만큼의 피해를 입히고, 자신의 체력을 SecondaryValue만큼 회복</t>
  </si>
  <si>
    <t>HitEnemyHealSelfIce</t>
  </si>
  <si>
    <t>적 1명 피해 + 자신 회복 + 얼음 부여</t>
  </si>
  <si>
    <t>BaseValue, ScalingStat, SecondaryValue, StatusEffect=Ice, StatusValue, StatusDuration</t>
  </si>
  <si>
    <t>HitEnemyHealSelf + StatusIce</t>
  </si>
  <si>
    <t>적 1명 공격 및 자신 체력 회복 후 대상에게 얼음(허약) 디버프 부여</t>
  </si>
  <si>
    <t>적 전체 피해 + 자신 회복 + 적 전체 얼음 부여</t>
  </si>
  <si>
    <t>HitAllEnemiesHealSelf + StatusIceAll</t>
  </si>
  <si>
    <t>적 전체에게 피해를 입히고 SecondaryValue만큼 체력을 회복한 뒤 적 전체에 얼음 부여</t>
  </si>
  <si>
    <t>적 1명 피해 후 보호막 획득 + 강철 부여</t>
  </si>
  <si>
    <t>BaseValue, ScalingStat, SecondaryValue, StatusEffect=Metal, StatusDuration</t>
  </si>
  <si>
    <t>HitEnemyShield + MetalSelf</t>
  </si>
  <si>
    <t>적 1명에게 피해를 입히고 SecondaryValue만큼 보호막 획득 후 1사이클 강철 부여</t>
  </si>
  <si>
    <t>적 전체 피해 후 보호막 획득 + 강철 부여</t>
  </si>
  <si>
    <t>HitAllEnemiesShield + MetalSelf</t>
  </si>
  <si>
    <t>적 전체에게 피해를 입히고 SecondaryValue만큼 보호막 획득 후 1사이클 강철 부여</t>
  </si>
  <si>
    <t>자신에게 불굴(실명) 부여</t>
  </si>
  <si>
    <t>StatusEffect=Blindness,  StatusDuration</t>
  </si>
  <si>
    <t>자신에게 한 사이클 동안 받는 데미지를 1로 고정되는 불굴(실명) 버프를 부여한다.</t>
  </si>
  <si>
    <t>SpiritSelf</t>
  </si>
  <si>
    <t>자신에게 불굴(정령화) 부여</t>
  </si>
  <si>
    <t>StatusEffect=Spirit,  StatusDuration</t>
  </si>
  <si>
    <t>자신에게 한 사이클 동안 받는 데미지를 1로 고정되는 불굴(정령화) 버프를 부여한다.</t>
  </si>
  <si>
    <t>StatusDark</t>
  </si>
  <si>
    <t>적 1명에게 과욕(어둠) 부여</t>
  </si>
  <si>
    <t>StatusEffect=Dark, StatusValue, StatusDuration</t>
  </si>
  <si>
    <t>적 1명에게 에너지 소모가 증가하는 과욕(어둠) 디버프 부여</t>
  </si>
  <si>
    <t>적 전체에게 과욕(어둠) 부여</t>
  </si>
  <si>
    <t>적 전체에게 에너지 소모가 증가하는 과욕(어둠) 디버프 부여</t>
  </si>
  <si>
    <t>HitEnemyDark</t>
  </si>
  <si>
    <t>적 1명 피해 + 과욕(어둠) 부여</t>
  </si>
  <si>
    <t>BaseValue, ScalingStat, StatusEffect=Dark, StatusValue, StatusDuration</t>
  </si>
  <si>
    <t>HitEnemy + StatusDark</t>
  </si>
  <si>
    <t>적 1명에게 피해를 입히고 에너지 소모가 증가하는 과욕(어둠) 디버프 부여</t>
  </si>
  <si>
    <t>적 전체에게 단일 데미지 + 적 전체 과욕(어둠) 디버프</t>
  </si>
  <si>
    <t>HitAllEnemies + StatusDarkAll</t>
  </si>
  <si>
    <t>적 전체에게 BaseValue만큼의 피해를 입히고, StatusValue만큼 과욕(어둠)을 부여</t>
  </si>
  <si>
    <t>StatusFlooding</t>
  </si>
  <si>
    <t>적 1명에게 허약(침수) 부여</t>
  </si>
  <si>
    <t>StatusEffect=Flooding, StatusValue, StatusDuration</t>
  </si>
  <si>
    <t>적 1명에게 공격을 하락시키는 허약(침수) 디버프 부여</t>
  </si>
  <si>
    <t>적 전체에게 허약(침수) 부여</t>
  </si>
  <si>
    <t>적 전체에게 공격을 하락시키는 허약(침수) 디버프 부여</t>
  </si>
  <si>
    <t>HitEnemyFlooding</t>
  </si>
  <si>
    <t>적 1명 피해 + 허약(침수) 부여</t>
  </si>
  <si>
    <t>BaseValue, ScalingStat, StatusEffect=Flooding, StatusValue, StatusDuration</t>
  </si>
  <si>
    <t>HitEnemy + StatusFlooding</t>
  </si>
  <si>
    <t>적 1명에게 피해를 입히고 공격을 하락시키는 허약(침수) 디버프 부여</t>
  </si>
  <si>
    <t>적 전체에게 단일 데미지 + 적 전체 허약(침수) 디버프</t>
  </si>
  <si>
    <t>HitAllEnemies + StatusFloodingAll</t>
  </si>
  <si>
    <t>적 전체에게 BaseValue만큼의 피해를 입히고, StatusValue만큼 허약(침수)을 부여</t>
  </si>
  <si>
    <t>StatusContrarywind</t>
  </si>
  <si>
    <t>적 1명에게 공포(역풍) 부여</t>
  </si>
  <si>
    <t>StatusEffect=Contrarywind, StatusValue, StatusDuration</t>
  </si>
  <si>
    <t>적 1명에게 최종 데미지를 감소시키는 공포(역풍) 디버프 부여</t>
  </si>
  <si>
    <t>적 전체에게 공포(역풍) 부여</t>
  </si>
  <si>
    <t>적 전체에게 최종 데미지를 감소시키는 공포(역풍) 디버프 부여</t>
  </si>
  <si>
    <t>HitEnemyContrarywind</t>
  </si>
  <si>
    <t>적 1명 피해 + 공포(역풍) 부여</t>
  </si>
  <si>
    <t>BaseValue, ScalingStat, StatusEffect=Contrarywind, StatusValue, StatusDuration</t>
  </si>
  <si>
    <t>HitEnemy + StatusContrarywind</t>
  </si>
  <si>
    <t>적 1명에게 피해를 입히고 최종 데미지를 감소시키는 공포(역풍) 디버프 부여</t>
  </si>
  <si>
    <t>적 전체에게 단일 데미지 + 적 전체 공포(역풍) 디버프</t>
  </si>
  <si>
    <t>HitAllEnemies + StatusContrarywindAll</t>
  </si>
  <si>
    <t>적 전체에게 BaseValue만큼의 피해를 입히고, StatusValue만큼 공포(역풍)를 부여</t>
  </si>
  <si>
    <t>즉시 행동 에너지 회복 + 자신에게 가호(방어 상승) 부여</t>
  </si>
  <si>
    <t>BaseValue, StatusEffect=Protection, StatusValue, StatusDuration</t>
  </si>
  <si>
    <t>GainEnergy + ProtectSelf</t>
  </si>
  <si>
    <t>행동 에너지를 BaseValue만큼 회복하고, StatusDuration 동안 가호(방어 상승) 부여</t>
  </si>
  <si>
    <t>즉시 행동 에너지 회복 + 자신에게 불굴 부여</t>
  </si>
  <si>
    <t>BaseValue, StatusEffect=Indomitable, StatusDuration</t>
  </si>
  <si>
    <t>GainEnergy + IndomitableSelf</t>
  </si>
  <si>
    <t>행동 에너지를 BaseValue만큼 회복하고, StatusDuration 동안 받는 피해가 1로 고정되는 불굴 부여</t>
  </si>
  <si>
    <t>시전자 반동 피해 + 자신에게 용기 부여</t>
  </si>
  <si>
    <t>SelfDamage, StatusEffect=Brave, StatusValue, StatusDuration</t>
  </si>
  <si>
    <t>DmgSelf + BraveSelf</t>
  </si>
  <si>
    <t>시전자가 SelfDamage만큼 체력을 소모하고, 자신의 공격력을 StatusValue만큼 증가</t>
  </si>
  <si>
    <t>시전자 반동 피해 + 적 1명 피해 + 적 체력 타격 시 자신 회복</t>
  </si>
  <si>
    <t>BaseValue, ScalingStat, SelfDamage, SecondaryValue</t>
  </si>
  <si>
    <t>HitEnemySelfDmg + HealSelf(OnHitEnemy)</t>
  </si>
  <si>
    <t>시전자가 SelfDamage만큼 체력을 소모해 적 1명을 공격하고, 적의 실제 체력을 깎았을 경우 SecondaryValue만큼 체력 회복</t>
  </si>
  <si>
    <t>시전자 반동 피해 + 적 1명 다단 피해 + 타격당 적 체력 타격 시 자신 회복</t>
  </si>
  <si>
    <t>BaseValue, HitCount, ScalingStat, SelfDamage, SecondaryValue</t>
  </si>
  <si>
    <t>HitEnemyMulti + DmgSelf + HealSelf(OnHitEnemy)</t>
  </si>
  <si>
    <t>시전자가 SelfDamage만큼 체력을 소모해 적 1명을 다단 공격하고, 매 타격이 적의 실제 체력을 깎을 때마다 SecondaryValue만큼 체력 회복</t>
  </si>
  <si>
    <t>시전자 반동 피해 + 적 전체 피해 + 체력 깎은 적 수 비례 자신 회복</t>
  </si>
  <si>
    <t>HitAllEnemies + DmgSelf + HealSelf(OnHitEnemy)</t>
  </si>
  <si>
    <t>시전자가 SelfDamage만큼 체력을 소모해 적 전체를 공격하고, 실제 체력을 깎은 적 1명당 SecondaryValue만큼 체력 회복</t>
  </si>
  <si>
    <t>BonusDamageOnShield</t>
  </si>
  <si>
    <t>보호막 보유 대상 공격 시 가하는 피해 비율(%) 증가</t>
  </si>
  <si>
    <t>보호막을 보유한 대상을 공격할 때 최종 데미지가 BaseValue(%)만큼 증가 (무도가 기본/강화 패시브 유물 전용)</t>
  </si>
  <si>
    <t>HealSelfBraveSelf</t>
  </si>
  <si>
    <t>자신 회복 + 자신에게 용기 버프 부여</t>
  </si>
  <si>
    <t>BaseValue, StatusEffect=Brave, StatusValue, StatusDuration</t>
  </si>
  <si>
    <t>HealSelf + BraveSelf</t>
  </si>
  <si>
    <t>자신의 체력을 BaseValue만큼 회복하고, StatusDuration 동안 공격력을 StatusValue만큼 증가</t>
  </si>
  <si>
    <t>ShieldSelfBraveSelf</t>
  </si>
  <si>
    <t>자신에게 보호막 부여 + 자신에게 용기 버프 부여</t>
  </si>
  <si>
    <t>ShieldSelf + BraveSelf</t>
  </si>
  <si>
    <t>자신에게 BaseValue만큼의 보호막을 부여하고, StatusDuration 동안 공격력을 StatusValue만큼 증가</t>
  </si>
  <si>
    <t>적 1명 주 피해 + 전체 적 광역 피해 + 용암 부여</t>
  </si>
  <si>
    <t>BaseValue(주피해), SecondaryValue(광역), StatusEffect=Lava, StatusValue, StatusDuration</t>
  </si>
  <si>
    <t>HitEnemySingleAoe + StatusLavaAll</t>
  </si>
  <si>
    <t>주 대상에게 BaseValue 피해 및 광역 SecondaryValue 피해를 입히고 허점(용암) 디버프 부여</t>
  </si>
  <si>
    <t>적 1명 주 피해 + 전체 적 광역 피해 + 급소 부여</t>
  </si>
  <si>
    <t>BaseValue(주피해), SecondaryValue(광역), StatusEffect=Mark, StatusValue, StatusDuration</t>
  </si>
  <si>
    <t>HitEnemySingleAoe + StatusMark</t>
  </si>
  <si>
    <t>주 대상에게 BaseValue 피해 및 급소를 부여하고, 적 전체에게 SecondaryValue 광역 피해</t>
  </si>
  <si>
    <t>즉시 행동 에너지 회복 + 자신에게 용기(공격 상승) 부여</t>
  </si>
  <si>
    <t>GainEnergy + BraveSelf</t>
  </si>
  <si>
    <t>행동 에너지를 BaseValue만큼 회복하고, StatusDuration 동안 자신의 공격력을 StatusValue만큼 증가</t>
  </si>
  <si>
    <t>아군 전체 보호막 생성 + 아군 전체 견고(방어 상승) 부여</t>
  </si>
  <si>
    <t>ShieldAll + SolidAll</t>
  </si>
  <si>
    <t>아군 전체에게 BaseValue만큼 보호막을 생성하고, 방어를 StatusValue만큼 증가</t>
  </si>
  <si>
    <t>아군 전체 용기(공격 상승) + 아군 전체 견고(방어 상승) 부여</t>
  </si>
  <si>
    <t>BraveAll + SolidAll</t>
  </si>
  <si>
    <t>아군 전체의 공격과 방어를 StatusValue만큼 StatusDuration 동안 동시에 증가</t>
  </si>
  <si>
    <t>적 1명 다단 피해 + 급소 부여</t>
  </si>
  <si>
    <t>BaseValue, HitCount, ScalingStat, StatusEffect=Mark, StatusValue, StatusDuration</t>
  </si>
  <si>
    <t>HitEnemyMulti + StatusMark</t>
  </si>
  <si>
    <t>적 1명에게 BaseValue 피해를 HitCount회 입히고 급소 부여</t>
  </si>
  <si>
    <t>적 1명 피해 + 자신 회피(민첩) 증가</t>
  </si>
  <si>
    <t>HitEnemy + EvasionSelf</t>
  </si>
  <si>
    <t>적 1명 공격 후 StatusDuration 동안 자신의 회피를 StatusValue만큼 증가</t>
  </si>
  <si>
    <t>자신 회피(민첩) 증가 + 자신 공격(용기) 증가</t>
  </si>
  <si>
    <t>EvasionSelf + BraveSelf</t>
  </si>
  <si>
    <t>StatusDuration 동안 자신의 공격과 회피를 StatusValue만큼 동시에 증가</t>
  </si>
  <si>
    <t>자신 회피(민첩) 증가 + 자신 반격 부여</t>
  </si>
  <si>
    <t>StatusEffect=Counter, StatusValue, StatusDuration, SecondaryValue</t>
  </si>
  <si>
    <t>EvasionSelf + CounterSelf</t>
  </si>
  <si>
    <t>StatusDuration 동안 회피를 StatusValue만큼 증가시키고, 피격 시 SecondaryValue 반격 부여</t>
  </si>
  <si>
    <t>적 1명 주 피해 + 전체 적 광역 피해 + 전체 적 중독 부여</t>
  </si>
  <si>
    <t>BaseValue(주피해), SecondaryValue(광역), StatusEffect=Poison, StatusValue, StatusDuration</t>
  </si>
  <si>
    <t>HitEnemySingleAoe + StatusPoisonAll</t>
  </si>
  <si>
    <t>주 대상 BaseValue 피해 및 전체 SecondaryValue 피해 후 전체 중독 부여</t>
  </si>
  <si>
    <t>즉시 행동 에너지 회복 + 자신에게 불굴(실명) 부여</t>
  </si>
  <si>
    <t>BaseValue, StatusEffect=Blindness, StatusDuration</t>
  </si>
  <si>
    <t>GainEnergy + BlindnessSelf</t>
  </si>
  <si>
    <t>행동 에너지를 BaseValue만큼 회복하고, StatusDuration 동안 받는 피해가 1로 고정되는 불굴(실명) 부여</t>
  </si>
  <si>
    <t>EvasionDamageReduction</t>
  </si>
  <si>
    <t>회피 수치만큼 받는 피해 감소 및 회피 이하 피해 무효화</t>
  </si>
  <si>
    <t>회피(민첩) 수치 이하의 데미지는 받지 않으며, 회피 수치 이상의 데미지는 회피 수치만큼 감소 (기본값+BaseValue 보정, 암살자 체술 패시브 전용)</t>
  </si>
  <si>
    <t>StatusMarkFearAll</t>
  </si>
  <si>
    <t>적 전체에게 급소 부여 + 공포 부여</t>
  </si>
  <si>
    <t>StatusMarkAll + StatusFearAll</t>
  </si>
  <si>
    <t>적 전체에게 StatusDuration 동안 급소와 공포를 동시에 부여</t>
  </si>
  <si>
    <t>버프 및 디버프 Enum 관리</t>
  </si>
  <si>
    <t>같은 그룹일 경우 버프 및 디버프 이름이 달라도 같은 효과를 가지며, 중복이 불가능 하다.</t>
  </si>
  <si>
    <t>인게임에선 "시스템이름(테마이름)" 이런식으로 출력된다. 둘이 같을 경우 시스템 이름만 출력</t>
  </si>
  <si>
    <t>GroupId</t>
  </si>
  <si>
    <t>State Name</t>
  </si>
  <si>
    <t>시스템 이름</t>
  </si>
  <si>
    <t>테마 이름</t>
  </si>
  <si>
    <t>종류</t>
  </si>
  <si>
    <t>효과</t>
  </si>
  <si>
    <t>TriggerTimer</t>
  </si>
  <si>
    <t>State_CostDamage</t>
  </si>
  <si>
    <t>역류</t>
  </si>
  <si>
    <t>디버프</t>
  </si>
  <si>
    <t>에너지를 사용할 때마다 수치만큼 데미지를 받습니다.</t>
  </si>
  <si>
    <t>기본 에너지만 적용</t>
  </si>
  <si>
    <t>TD</t>
  </si>
  <si>
    <t>받는 데미지</t>
  </si>
  <si>
    <t>버프</t>
  </si>
  <si>
    <t>State_CostUp</t>
  </si>
  <si>
    <t>과욕</t>
  </si>
  <si>
    <t>산성</t>
  </si>
  <si>
    <t>스킬 사용시 에너지 소모량이 1 증가한다.</t>
  </si>
  <si>
    <t>FD</t>
  </si>
  <si>
    <t>최종 데미지</t>
  </si>
  <si>
    <t>어둠</t>
  </si>
  <si>
    <t>OnTakeDamage</t>
  </si>
  <si>
    <t>Cost</t>
  </si>
  <si>
    <t>에너지 소모</t>
  </si>
  <si>
    <t>State_Counter</t>
  </si>
  <si>
    <t>반격</t>
  </si>
  <si>
    <t>SecondaryValue만큼의 데미지를 자신을 공격한 대상에게 준다.</t>
  </si>
  <si>
    <t>Energy</t>
  </si>
  <si>
    <t>기본 에너지</t>
  </si>
  <si>
    <t>State_EnergyUp</t>
  </si>
  <si>
    <t>활력</t>
  </si>
  <si>
    <t>자신의 턴 시작 시 에너지를 수치만큼 추가로 얻는다.</t>
  </si>
  <si>
    <t>OnTurnStart</t>
  </si>
  <si>
    <t>SkillCost</t>
  </si>
  <si>
    <t>스킬 에너지 소모</t>
  </si>
  <si>
    <t>State_Immortality</t>
  </si>
  <si>
    <t>불사</t>
  </si>
  <si>
    <t>체력이 1 이하로 내려가지 않습니다.</t>
  </si>
  <si>
    <t>SkillEnergy</t>
  </si>
  <si>
    <t>스킬 에너지</t>
  </si>
  <si>
    <t>State_Poison</t>
  </si>
  <si>
    <t>중독</t>
  </si>
  <si>
    <t>자신의 턴 종료시 수치만큼의 데미지를 받는다.</t>
  </si>
  <si>
    <t>OnTurnEnd</t>
  </si>
  <si>
    <t>State_RandomState</t>
  </si>
  <si>
    <t>퓨전</t>
  </si>
  <si>
    <t>중독, 용암, 얼음을 랜덤으로 적용시킨다.</t>
  </si>
  <si>
    <t>스킬 에너지만 적용</t>
  </si>
  <si>
    <t>State_SkillCostDamage</t>
  </si>
  <si>
    <t>내상</t>
  </si>
  <si>
    <t>스킬 에너지를 사용할 때마다 수치만큼 데미지를 받습니다.</t>
  </si>
  <si>
    <t>State_StatDown_ATK</t>
  </si>
  <si>
    <t>허약</t>
  </si>
  <si>
    <t>얼음</t>
  </si>
  <si>
    <t>수치만큼 공격 스텟이 하락한다.</t>
  </si>
  <si>
    <t>침수</t>
  </si>
  <si>
    <t>State_StatDown_DEF</t>
  </si>
  <si>
    <t>허점</t>
  </si>
  <si>
    <t>용암</t>
  </si>
  <si>
    <t>수치만큼 방어 스텟이 하락한다.</t>
  </si>
  <si>
    <t>State_StatUp_ATK</t>
  </si>
  <si>
    <t>용기</t>
  </si>
  <si>
    <t>수치만큼 공격 스텟이 오른다.</t>
  </si>
  <si>
    <t>State_StatUp_DEF</t>
  </si>
  <si>
    <t>견고</t>
  </si>
  <si>
    <t>가호</t>
  </si>
  <si>
    <t>수치만큼 방어 스텟이 오른다.</t>
  </si>
  <si>
    <t>State_StatUp_EVA</t>
  </si>
  <si>
    <t>민첩</t>
  </si>
  <si>
    <t>수치만큼 회피 스텟이 증가한다.</t>
  </si>
  <si>
    <t>State_TD1</t>
  </si>
  <si>
    <t>불굴</t>
  </si>
  <si>
    <t>한 사이클 동안 받는 데미지가 1로 고정된다.</t>
  </si>
  <si>
    <t>강철</t>
  </si>
  <si>
    <t>StatusValue가 없다면 BaseValue로 적용</t>
  </si>
  <si>
    <t>정령화</t>
  </si>
  <si>
    <t>실명</t>
  </si>
  <si>
    <t>State_FDDown</t>
  </si>
  <si>
    <t>공포</t>
  </si>
  <si>
    <t>최종 데미지를 25%만큼 감소시킨다.</t>
  </si>
  <si>
    <t>역풍</t>
  </si>
  <si>
    <t>State_TDHeal</t>
  </si>
  <si>
    <t>흡수</t>
  </si>
  <si>
    <t>데미지를 받을 경우 받은 데미지의 StatusValue%만큼 회복합니다.</t>
  </si>
  <si>
    <t>State_TDUp</t>
  </si>
  <si>
    <t>급소</t>
  </si>
  <si>
    <t>받는 데미지가 25% 증가한다.</t>
  </si>
  <si>
    <t>State_TDDownInt</t>
  </si>
  <si>
    <t>철벽</t>
  </si>
  <si>
    <t>받는 데미지가 StatusValue만큼 줄어든다.</t>
  </si>
  <si>
    <t>State_SelfDamage</t>
  </si>
  <si>
    <t>반동 피해</t>
  </si>
  <si>
    <t>스킬 사용 시 시전자가 수치만큼 반동 피해를 받는다.</t>
  </si>
  <si>
    <t>OnSkillUsed</t>
  </si>
  <si>
    <t>SelfDamage 수치만큼 즉시 피해</t>
  </si>
  <si>
    <t>영구지속: -1</t>
  </si>
  <si>
    <t>계층·효과별 이론적 기준가 (상점 미등장 유물도 가치 산출)</t>
  </si>
  <si>
    <t>ActionKind 자동 분류 카테고리</t>
  </si>
  <si>
    <t>RelicName_KR</t>
  </si>
  <si>
    <t>RelicDesc_KR</t>
  </si>
  <si>
    <t>TriggerTiming</t>
  </si>
  <si>
    <t>OnSkill</t>
  </si>
  <si>
    <t>RemainBattle</t>
  </si>
  <si>
    <t>SellPrice_Gold</t>
  </si>
  <si>
    <t>Calc_StandardPrice</t>
  </si>
  <si>
    <t>Effect_Category</t>
  </si>
  <si>
    <t>RLC_Common_001</t>
  </si>
  <si>
    <t>전사의 증표</t>
  </si>
  <si>
    <t>전투 시작 시 공격 1 증가</t>
  </si>
  <si>
    <t>OnBattleStart</t>
  </si>
  <si>
    <t>RLC_Common_002</t>
  </si>
  <si>
    <t>견습 기사의 방패</t>
  </si>
  <si>
    <t>전투 시작 시 방어 1 증가</t>
  </si>
  <si>
    <t>RLC_Common_003</t>
  </si>
  <si>
    <t>보조 배터리</t>
  </si>
  <si>
    <t>전투 시작 시 에너지 1 추가</t>
  </si>
  <si>
    <t>RLC_Common_004</t>
  </si>
  <si>
    <t>방어 보조 모듈</t>
  </si>
  <si>
    <t>타격 시 보호막 2 획득</t>
  </si>
  <si>
    <t>OnHitEnemy</t>
  </si>
  <si>
    <t>RLC_Common_005</t>
  </si>
  <si>
    <t>유탄 발사기</t>
  </si>
  <si>
    <t>전투 시작 시 적 전체에게 5 데미지 부여</t>
  </si>
  <si>
    <t>RLC_Common_006</t>
  </si>
  <si>
    <t>최하급 재생 플라스크</t>
  </si>
  <si>
    <t>전투 시작 시 체력 3 회복</t>
  </si>
  <si>
    <t>RLC_Common_007</t>
  </si>
  <si>
    <t>최하급 도적의 비술</t>
  </si>
  <si>
    <t>전투 시작 시 민첩 1 증가</t>
  </si>
  <si>
    <t>RLC_Common_008</t>
  </si>
  <si>
    <t>희미한 행운의 부적</t>
  </si>
  <si>
    <t>전투 종료 시 던전 재화 10개 추가 획득</t>
  </si>
  <si>
    <t>OnBattleEnd</t>
  </si>
  <si>
    <t>RLC_Common_009</t>
  </si>
  <si>
    <t>보급형 에너지 코어</t>
  </si>
  <si>
    <t>에너지 소모 시 보호막 1 획득</t>
  </si>
  <si>
    <t>OnUseEnergy</t>
  </si>
  <si>
    <t>RLC_Common_010</t>
  </si>
  <si>
    <t>부서진 훈련용 인형</t>
  </si>
  <si>
    <t>유물 획득 시 보유한 픽업 스킬 중 1가지를 +1강 강화한다</t>
  </si>
  <si>
    <t>OnGainRelic</t>
  </si>
  <si>
    <t>RLC_Common_011</t>
  </si>
  <si>
    <t>숨겨진 보물 상자</t>
  </si>
  <si>
    <t>유물 획득 시 던전 재화 333개 획득</t>
  </si>
  <si>
    <t>RLC_Common_012</t>
  </si>
  <si>
    <t>잘 익은 군고구마</t>
  </si>
  <si>
    <t>휴식터에 입장할 시 체력 10 추가 회복</t>
  </si>
  <si>
    <t>OnRestStart</t>
  </si>
  <si>
    <t>RLC_Common_013</t>
  </si>
  <si>
    <t>깨진 돋보기 안경</t>
  </si>
  <si>
    <t>전투 시작 시 적 전체에게 급소를 1 사이클 동안 부여</t>
  </si>
  <si>
    <t>RLC_Common_014</t>
  </si>
  <si>
    <t>도깨비 가면</t>
  </si>
  <si>
    <t>전투 시작 시 적 전체에게 공포를 1 사이클 동안 부여</t>
  </si>
  <si>
    <t>RLC_Common_015</t>
  </si>
  <si>
    <t>향긋한 백도</t>
  </si>
  <si>
    <t>유물 획득 시 최대 체력 8 증가</t>
  </si>
  <si>
    <t>RLC_Common_016</t>
  </si>
  <si>
    <t>조악한 갑옷</t>
  </si>
  <si>
    <t>피격 시 받는 데미지가 1 줄어든다.</t>
  </si>
  <si>
    <t>RLC_Common_017</t>
  </si>
  <si>
    <t>최하급 용기의 부적</t>
  </si>
  <si>
    <t>가디언 전투 시작 시 공격 2 증가</t>
  </si>
  <si>
    <t>OnGuardianBattleStart</t>
  </si>
  <si>
    <t>RLC_Common_018</t>
  </si>
  <si>
    <t>사냥꾼의 쇠뇌</t>
  </si>
  <si>
    <t>보스 전투 시작 시 공격 2 증가</t>
  </si>
  <si>
    <t>OnBossBattleStart</t>
  </si>
  <si>
    <t>RLC_Common_019</t>
  </si>
  <si>
    <t>사냥꾼의 가죽 갑옷</t>
  </si>
  <si>
    <t>보스 전투 시작 시 방어 2 증가</t>
  </si>
  <si>
    <t>RLC_Deep_Q001</t>
  </si>
  <si>
    <t>이프리트의 화염 코어</t>
  </si>
  <si>
    <t>전투 시작 시 공격 3 증가</t>
  </si>
  <si>
    <t>RLC_Deep_Q002</t>
  </si>
  <si>
    <t>나이아드의 심해 코어</t>
  </si>
  <si>
    <t>자신의 턴 종료 시 체력 2 회복</t>
  </si>
  <si>
    <t>RLC_Deep_Q003</t>
  </si>
  <si>
    <t>실피드의 질풍 코어</t>
  </si>
  <si>
    <t>자신의 턴 시작 시 에너지 1 추가 획득</t>
  </si>
  <si>
    <t>RLC_Deep_Q004</t>
  </si>
  <si>
    <t>오레아드의 대지 코어</t>
  </si>
  <si>
    <t>전투 시작 시 철벽 3 (영구 지속) 획득</t>
  </si>
  <si>
    <t>RLC_Deep_Q005</t>
  </si>
  <si>
    <t>사원소의 성배</t>
  </si>
  <si>
    <t>체력 회복 시 체력 1 추가 회복 획득</t>
  </si>
  <si>
    <t>OnHealHP</t>
  </si>
  <si>
    <t>RLC_Deep_Q006</t>
  </si>
  <si>
    <t>샐러맨더의 불꽃 정수</t>
  </si>
  <si>
    <t>전투 시작 시 적 전체에게 2사이클 동안 허점(용암) 2 부여</t>
  </si>
  <si>
    <t>RLC_Deep_Q007</t>
  </si>
  <si>
    <t>실프의 바람 정수</t>
  </si>
  <si>
    <t>에너지를 소모할 때마다 보호막 7 획득</t>
  </si>
  <si>
    <t>RLC_Deep_Q008</t>
  </si>
  <si>
    <t>노움의 대지 정수</t>
  </si>
  <si>
    <t>보호막 획득 시 보호막 4를 추가로 획득한다</t>
  </si>
  <si>
    <t>OnGainShield</t>
  </si>
  <si>
    <t>RLC_Deep_Q009</t>
  </si>
  <si>
    <t>정화된 어둠의 성유물</t>
  </si>
  <si>
    <t>전투 시작 시 적 전체에게 2사이클 동안 공포 1 부여</t>
  </si>
  <si>
    <t>RLC_Deep_Q010</t>
  </si>
  <si>
    <t>위스프의 빛무리 정수</t>
  </si>
  <si>
    <t>전투 시작 시 1사이클 동안 불굴(실명)(받는 피해 1 고정) 획득</t>
  </si>
  <si>
    <t>RLC_Deep_Q011</t>
  </si>
  <si>
    <t>운디네의 맑은 영수</t>
  </si>
  <si>
    <t>휴식터에 입장할 시 체력 20 추가 회복</t>
  </si>
  <si>
    <t>RLC_Deep_Q012</t>
  </si>
  <si>
    <t>선봉대장의 황금 훈장</t>
  </si>
  <si>
    <t>전투 시작 시 아군 전체의 공격을 2 증가시킨다</t>
  </si>
  <si>
    <t>RLC_Deep_Q013</t>
  </si>
  <si>
    <t>대마법사의 마도서</t>
  </si>
  <si>
    <t>RLC_Deep_Q014</t>
  </si>
  <si>
    <t>테르미누스의 성흔</t>
  </si>
  <si>
    <t>전투 시작 시 철벽 2(영구 지속) 획득 (받는 피해 2 감소)</t>
  </si>
  <si>
    <t>RLC_Mid_Q001</t>
  </si>
  <si>
    <t>리자드 킹의 왕관</t>
  </si>
  <si>
    <t>상대의 보호막 공격 시 적 전체에게 5의 추가 피해 부여</t>
  </si>
  <si>
    <t>OnHitShield</t>
  </si>
  <si>
    <t>RLC_Mid_Q002</t>
  </si>
  <si>
    <t>인도자의 주술 지팡이</t>
  </si>
  <si>
    <t>전투 시작 시 아군 전체의 방어를 2 증가시킨다</t>
  </si>
  <si>
    <t>RLC_Mid_Q003</t>
  </si>
  <si>
    <t>족장의 전투 깃발</t>
  </si>
  <si>
    <t>RLC_Mid_Q004</t>
  </si>
  <si>
    <t>사냥꾼의 올가미</t>
  </si>
  <si>
    <t>가디언 전투 시작 시 적 전체에게 2사이클 동안 급소 부여</t>
  </si>
  <si>
    <t>RLC_Mid_Q005</t>
  </si>
  <si>
    <t>정찰병의 깃털 망토</t>
  </si>
  <si>
    <t>전투 시작 시 민첩(회피) 2 증가</t>
  </si>
  <si>
    <t>RLC_Mid_Q006</t>
  </si>
  <si>
    <t>수호병의 비늘 방패</t>
  </si>
  <si>
    <t>전투 시작 시 2사이클 동안 철벽(받는 피해 2 감소) 획득</t>
  </si>
  <si>
    <t>RLC_Mid_Q007</t>
  </si>
  <si>
    <t>암살자의 단검</t>
  </si>
  <si>
    <t>적에게 피해를 입힌 경우, 2의 데미지를 추가로 입힌다.</t>
  </si>
  <si>
    <t>RLC_Mid_Q008</t>
  </si>
  <si>
    <t>정화된 주술 토템</t>
  </si>
  <si>
    <t>스킬 에너지를 소모할 때마다 체력 3 회복</t>
  </si>
  <si>
    <t>OnUseSkillEnergy</t>
  </si>
  <si>
    <t>RLC_Mid_Q009</t>
  </si>
  <si>
    <t>베테랑의 전술 교본</t>
  </si>
  <si>
    <t>전투 시작 시 적 전체에게 1사이클 동안 급소 1 부여</t>
  </si>
  <si>
    <t>RLC_Mid_Q010</t>
  </si>
  <si>
    <t>거물 사냥꾼의 전리품</t>
  </si>
  <si>
    <t>가디언 전투 시작 시 적 전체에게 2사이클 동안 공포 부여</t>
  </si>
  <si>
    <t>RLC_Mid_Q011</t>
  </si>
  <si>
    <t>증폭된 마력 코어</t>
  </si>
  <si>
    <t>전투 시작 시 에너지 2 추가 획득</t>
  </si>
  <si>
    <t>RLC_Mid_Q012</t>
  </si>
  <si>
    <t>마탑의 가디언 분석기</t>
  </si>
  <si>
    <t>가디언 전투 시작 시 아군 전체에게 보호막 10 부여</t>
  </si>
  <si>
    <t>RLC_Mid_Q013</t>
  </si>
  <si>
    <t>순례자의 성배</t>
  </si>
  <si>
    <t>전투 종료 시 체력 5 회복</t>
  </si>
  <si>
    <t>RLC_Mid_Q014</t>
  </si>
  <si>
    <t>이단심문관의 장검</t>
  </si>
  <si>
    <t>타격에 성공했을 때 적 전체에게 3 데미지 부여</t>
  </si>
  <si>
    <t>RLC_Monster_ELM06</t>
  </si>
  <si>
    <t>정령왕의 힘</t>
  </si>
  <si>
    <t>전투 시작 시 불굴(정령화)를 1 사이클 동안 부여</t>
  </si>
  <si>
    <t>RLC_Monster_LIZ01</t>
  </si>
  <si>
    <t>저주 인형</t>
  </si>
  <si>
    <t>RLC_Monster_LIZ02</t>
  </si>
  <si>
    <t>암살자의 로브</t>
  </si>
  <si>
    <t>전투 시작 시 자신의 회피를 3 증가시킨다.</t>
  </si>
  <si>
    <t>RLC_Monster_LIZ03</t>
  </si>
  <si>
    <t>무거운 메이스</t>
  </si>
  <si>
    <t>공격 스킬 사용 시, 방어가 1 하락한다.</t>
  </si>
  <si>
    <t>RLC_Monster_LIZ04</t>
  </si>
  <si>
    <t>축복 인형</t>
  </si>
  <si>
    <t>전투 시작 시 아군의 방어를 2 증가시킨다.</t>
  </si>
  <si>
    <t>RLC_Monster_LIZ05</t>
  </si>
  <si>
    <t>리자드 족장의 창</t>
  </si>
  <si>
    <t>전투 시작 시 아군의 공격을 2 증가시킨다.</t>
  </si>
  <si>
    <t>RLC_Monster_LIZ06</t>
  </si>
  <si>
    <t>리자드 왕의 도</t>
  </si>
  <si>
    <t>상대의 보호막 공격 시 5의 추가 피해를 입힌다.</t>
  </si>
  <si>
    <t>RLC_Monster_SLI01</t>
  </si>
  <si>
    <t>단단한 진흙</t>
  </si>
  <si>
    <t>피격 시 보호막 3 획득</t>
  </si>
  <si>
    <t>RLC_Monster_SLI02</t>
  </si>
  <si>
    <t>고대의 슬라임 코어</t>
  </si>
  <si>
    <t>사망 시 부활 (3회 한도)</t>
  </si>
  <si>
    <t>OnDead</t>
  </si>
  <si>
    <t>RLC_Monster_SLI03</t>
  </si>
  <si>
    <t>왕의 위엄</t>
  </si>
  <si>
    <t>데미지를 1만 받는다. (아군 사망 시 해제)</t>
  </si>
  <si>
    <t>RLC_Assassin_001</t>
  </si>
  <si>
    <t>체술 교본</t>
  </si>
  <si>
    <t>회피 수치 이하의 데미지는 받지 않으며, 회피 수치 이상의 데미지의 경우 회피 수치만큼 데미지가 감소된다.</t>
  </si>
  <si>
    <t>RLC_Assassin_002</t>
  </si>
  <si>
    <t>무영 체술 비전서</t>
  </si>
  <si>
    <t>전투 시작 시 회피가 1 증가하며, 회피 수치 이하의 데미지는 받지 않고 회피 수치 이상의 데미지는 회피 수치만큼 감소된다.</t>
  </si>
  <si>
    <t>RLC_Assassin_003</t>
  </si>
  <si>
    <t>독 묻은 비도</t>
  </si>
  <si>
    <t>적을 공격하여 체력을 깎았을 때 대상에게 2사이클 동안 중독 1 부여</t>
  </si>
  <si>
    <t>RLC_Assassin_004</t>
  </si>
  <si>
    <t>비도 암기낭</t>
  </si>
  <si>
    <t>특수 스킬 사용 직후 적 전체에게 3 데미지 부여</t>
  </si>
  <si>
    <t>RLC_Assassin_005</t>
  </si>
  <si>
    <t>야행의 흑포</t>
  </si>
  <si>
    <t>전투 시작 시 2사이클 동안 자신의 민첩(회피) 1 증가</t>
  </si>
  <si>
    <t>RLC_Assassin_006</t>
  </si>
  <si>
    <t>철선 기관함</t>
  </si>
  <si>
    <t>전투 시작 시 1사이클 동안 반격 2 부여</t>
  </si>
  <si>
    <t>RLC_Assassin_007</t>
  </si>
  <si>
    <t>오독 향낭</t>
  </si>
  <si>
    <t>스킬 에너지를 소모할 때마다 적 전체에게 2사이클 동안 중독 2 부여</t>
  </si>
  <si>
    <t>RLC_Assassin_008</t>
  </si>
  <si>
    <t>원앙쌍비도</t>
  </si>
  <si>
    <t>적을 공격하여 체력을 깎았을 때 대상에게 2의 추가 데미지 부여</t>
  </si>
  <si>
    <t>RLC_Assassin_009</t>
  </si>
  <si>
    <t>운무 연막탄</t>
  </si>
  <si>
    <t>스킬 에너지를 소모할 때마다 1사이클 동안 자신의 민첩(회피) 1 증가</t>
  </si>
  <si>
    <t>RLC_Assassin_010</t>
  </si>
  <si>
    <t>천리안의 옥패</t>
  </si>
  <si>
    <t>보호막이 있는 대상을 공격했을 때 적 전체에게 1사이클 동안 급소 1 부여</t>
  </si>
  <si>
    <t>RLC_Assassin_011</t>
  </si>
  <si>
    <t>만독마향로</t>
  </si>
  <si>
    <t>자신의 턴 시작 시 적 전체에게 2사이클 동안 중독 3 부여</t>
  </si>
  <si>
    <t>RLC_Assassin_012</t>
  </si>
  <si>
    <t>무영분신부</t>
  </si>
  <si>
    <t>적을 공격하여 체력을 깎았을 때 적 전체에게 3 데미지 부여</t>
  </si>
  <si>
    <t>RLC_Assassin_013</t>
  </si>
  <si>
    <t>무영의 비단 흑화</t>
  </si>
  <si>
    <t>전투 시작 시 자신의 공격 2 및 민첩(회피) 2 증가 (영구 지속)</t>
  </si>
  <si>
    <t>RLC_Assassin_014</t>
  </si>
  <si>
    <t>살수문주의 혈령패</t>
  </si>
  <si>
    <t>자신의 턴 시작 시 적 전체에게 1사이클 동안 급소 1 및 공포 1 부여</t>
  </si>
  <si>
    <t>RLC_Engineer_001</t>
  </si>
  <si>
    <t>마도 엔진</t>
  </si>
  <si>
    <t>공격 대상의 체력을 1 이상 감소시킬 경우 자신에게 (1+방어)의 보호막을 생성한다.</t>
  </si>
  <si>
    <t>RLC_Engineer_002</t>
  </si>
  <si>
    <t>과충전 마도 엔진</t>
  </si>
  <si>
    <t>공격 대상의 체력을 1 이상 감소시킬 경우 자신에게 (2+방어)의 보호막을 생성한다.</t>
  </si>
  <si>
    <t>RLC_Engineer_003</t>
  </si>
  <si>
    <t>소형 기관포탑</t>
  </si>
  <si>
    <t>자신의 턴 시작 시 적 전체에게 2 데미지 부여</t>
  </si>
  <si>
    <t>RLC_Engineer_004</t>
  </si>
  <si>
    <t>보조 방벽 생성기</t>
  </si>
  <si>
    <t>자신의 턴 시작 시 자신에게 보호막 2 획득</t>
  </si>
  <si>
    <t>RLC_Engineer_005</t>
  </si>
  <si>
    <t>출력 증폭 비콘</t>
  </si>
  <si>
    <t>전투 시작 시 2사이클 동안 자신의 공격 1 증가</t>
  </si>
  <si>
    <t>RLC_Engineer_006</t>
  </si>
  <si>
    <t>표적 조준 비콘</t>
  </si>
  <si>
    <t>RLC_Engineer_007</t>
  </si>
  <si>
    <t>연장 박격포탑</t>
  </si>
  <si>
    <t>자신의 턴 시작 시 적 전체에게 4 데미지 부여</t>
  </si>
  <si>
    <t>RLC_Engineer_008</t>
  </si>
  <si>
    <t>광역 역장 생성기</t>
  </si>
  <si>
    <t>자신의 턴 시작 시 아군 전체에게 보호막 2 부여</t>
  </si>
  <si>
    <t>RLC_Engineer_009</t>
  </si>
  <si>
    <t>마력 공명 파일런</t>
  </si>
  <si>
    <t>스킬 에너지를 소모할 때마다 1사이클 동안 자신의 공격 1 증가</t>
  </si>
  <si>
    <t>RLC_Engineer_010</t>
  </si>
  <si>
    <t>중력 교란 포탑</t>
  </si>
  <si>
    <t>전투 시작 시 적 전체에게 1사이클 동안 허약(얼음) 1 부여</t>
  </si>
  <si>
    <t>RLC_Engineer_011</t>
  </si>
  <si>
    <t>마도 레이저 포탑</t>
  </si>
  <si>
    <t>자신의 턴 시작 시 적 전체에게 (5+공격) 피해 및 1사이클 동안 허점(용암) 1 부여</t>
  </si>
  <si>
    <t>RLC_Engineer_012</t>
  </si>
  <si>
    <t>요새 포탑</t>
  </si>
  <si>
    <t>자신의 턴 시작 시 아군 전체에게 보호막 4 부여 및 1사이클 동안 방어 1 증가</t>
  </si>
  <si>
    <t>RLC_Engineer_013</t>
  </si>
  <si>
    <t>영구 기관 코어</t>
  </si>
  <si>
    <t>전투 시작 시 아군 전체의 공격 2 및 방어 2 증가 (영구 지속)</t>
  </si>
  <si>
    <t>RLC_Engineer_014</t>
  </si>
  <si>
    <t>특이점 관측 포탑</t>
  </si>
  <si>
    <t>자신의 턴 시작 시 적 전체에게 1사이클 동안 급소 1 부여</t>
  </si>
  <si>
    <t>RLC_Fighter_001</t>
  </si>
  <si>
    <t>파쇄의 권갑</t>
  </si>
  <si>
    <t>공격 대상이 보호막을 보유 중일 경우 데미지가 20% 증가한다.</t>
  </si>
  <si>
    <t>RLC_Fighter_002</t>
  </si>
  <si>
    <t>천파의 신권</t>
  </si>
  <si>
    <t>공격 대상이 보호막을 보유 중일 경우 데미지가 30% 증가한다.</t>
  </si>
  <si>
    <t>RLC_Fighter_003</t>
  </si>
  <si>
    <t>적옥 반지</t>
  </si>
  <si>
    <t>전투 시작 시 체력 2 회복</t>
  </si>
  <si>
    <t>RLC_Fighter_004</t>
  </si>
  <si>
    <t>경량 가죽 각반</t>
  </si>
  <si>
    <t>적을 공격하여 체력을 깎았을 때 보호막 1 획득</t>
  </si>
  <si>
    <t>RLC_Fighter_005</t>
  </si>
  <si>
    <t>강철 너클</t>
  </si>
  <si>
    <t>보호막이 있는 대상을 공격했을 때 적 전체에게 1사이클 동안 허점(용암) 1 부여</t>
  </si>
  <si>
    <t>RLC_Fighter_006</t>
  </si>
  <si>
    <t>수련생의 옥패</t>
  </si>
  <si>
    <t>전투 시작 시 영구히 지속되는 반격 1 부여</t>
  </si>
  <si>
    <t>RLC_Fighter_007</t>
  </si>
  <si>
    <t>구리 경혈침</t>
  </si>
  <si>
    <t>전투 시작 시 적 전체에게 1사이클 동안 내상 2 부여</t>
  </si>
  <si>
    <t>RLC_Fighter_008</t>
  </si>
  <si>
    <t>피 묻은 붕대</t>
  </si>
  <si>
    <t>자신의 체력이 깎였을 때 1사이클 동안 공격 1 증가</t>
  </si>
  <si>
    <t>RLC_Fighter_009</t>
  </si>
  <si>
    <t>질풍의 경갑</t>
  </si>
  <si>
    <t>특수 스킬 사용 직후 1사이클 동안 민첩(회피) 1 획득</t>
  </si>
  <si>
    <t>RLC_Fighter_010</t>
  </si>
  <si>
    <t>강철 호완</t>
  </si>
  <si>
    <t>스킬/패시브로 보호막을 획득했을 때 1사이클 동안 견고(방어) 1 획득</t>
  </si>
  <si>
    <t>RLC_Fighter_011</t>
  </si>
  <si>
    <t>청동 단전구</t>
  </si>
  <si>
    <t>자신의 체력이 회복됐을 때 적 전체에게 4 데미지 부여</t>
  </si>
  <si>
    <t>RLC_Fighter_012</t>
  </si>
  <si>
    <t>점혈 입문서</t>
  </si>
  <si>
    <t>가디언 전투 시작 시 적 전체에게 2사이클 동안 내상 3 부여</t>
  </si>
  <si>
    <t>RLC_Fighter_013</t>
  </si>
  <si>
    <t>천마의 혈옥</t>
  </si>
  <si>
    <t>자신의 체력이 깎였을 때 체력 1 회복 및 1사이클 동안 공격 1 증가</t>
  </si>
  <si>
    <t>RLC_Fighter_014</t>
  </si>
  <si>
    <t>풍신의 신발</t>
  </si>
  <si>
    <t>전투 시작 시 공격 2 증가</t>
  </si>
  <si>
    <t>RLC_Fighter_015</t>
  </si>
  <si>
    <t>패왕의 금강갑</t>
  </si>
  <si>
    <t>보스 전투 시작 시 3사이클 동안 철벽 3 획득</t>
  </si>
  <si>
    <t>RLC_Fighter_016</t>
  </si>
  <si>
    <t>만파의 태극경</t>
  </si>
  <si>
    <t>전투 시작 시 반격 3 부여</t>
  </si>
  <si>
    <t>RLC_Fighter_017</t>
  </si>
  <si>
    <t>뇌제의 사혈침</t>
  </si>
  <si>
    <t>RLC_Paladin_001</t>
  </si>
  <si>
    <t>빛의 석상</t>
  </si>
  <si>
    <t>자신이 보호막 획득 시 체력 2 회복 (유물로 획득한 보호막은 체력 회복 X)</t>
  </si>
  <si>
    <t>RLC_Paladin_002</t>
  </si>
  <si>
    <t>자애로운 빛의 석상</t>
  </si>
  <si>
    <t>자신이 보호막 획득 시 체력 3 회복 (유물로 획득한 보호막은 체력 회복 X)</t>
  </si>
  <si>
    <t>RLC_Paladin_003</t>
  </si>
  <si>
    <t>가시 박힌 성물</t>
  </si>
  <si>
    <t>자신의 체력이 회복됐을 때 적 전체에게 2 피해</t>
  </si>
  <si>
    <t>RLC_Paladin_004</t>
  </si>
  <si>
    <t>성전사의 철방패</t>
  </si>
  <si>
    <t>전투 시작 시 1 사이클 동안 불굴 획득</t>
  </si>
  <si>
    <t>RLC_Paladin_005</t>
  </si>
  <si>
    <t>수습 사제의 성표</t>
  </si>
  <si>
    <t>전투 종료 시 체력 3 회복</t>
  </si>
  <si>
    <t>RLC_Paladin_006</t>
  </si>
  <si>
    <t>축복받은 붕대</t>
  </si>
  <si>
    <t>자신의 체력이 깎였을 때 체력 1 회복</t>
  </si>
  <si>
    <t>RLC_Paladin_007</t>
  </si>
  <si>
    <t>정화의 성화</t>
  </si>
  <si>
    <t>자신의 체력이 회복됐을 때 적 전체에게 1사이클 동안 허점(용암) 1 부여</t>
  </si>
  <si>
    <t>RLC_Paladin_008</t>
  </si>
  <si>
    <t>성전사의 문장 방패</t>
  </si>
  <si>
    <t>스킬/패시브로 보호막을 획득했을 때 보호막 2 추가 획득</t>
  </si>
  <si>
    <t>RLC_Paladin_009</t>
  </si>
  <si>
    <t>성기사의 기도서</t>
  </si>
  <si>
    <t>전투 시작 시 체력 4 회복 및 2사이클 동안 견고(가호) 1 획득</t>
  </si>
  <si>
    <t>RLC_Paladin_010</t>
  </si>
  <si>
    <t>고행자의 묵주</t>
  </si>
  <si>
    <t>자신의 체력이 깎였을 때 보호막 3 획득</t>
  </si>
  <si>
    <t>RLC_Paladin_011</t>
  </si>
  <si>
    <t>단죄의 성광관</t>
  </si>
  <si>
    <t>자신의 체력이 회복됐을 때 적 전체에게 (6+공격) 피해 및 1사이클 동안 허점(용암) 1 부여</t>
  </si>
  <si>
    <t>RLC_Paladin_012</t>
  </si>
  <si>
    <t>대천사의 성벽 방패</t>
  </si>
  <si>
    <t>스킬/패시브로 보호막을 획득했을 때 1사이클 동안 철벽 1 획득</t>
  </si>
  <si>
    <t>RLC_Paladin_013</t>
  </si>
  <si>
    <t>구원의 성배</t>
  </si>
  <si>
    <t>전투 시작 시 아군 전체의 체력을 (6+방어)만큼 회복하고 1사이클 동안 공격 1 증가</t>
  </si>
  <si>
    <t>RLC_Paladin_014</t>
  </si>
  <si>
    <t>순교자의 성흔</t>
  </si>
  <si>
    <t>자신의 체력이 깎였을 때 체력 2 회복 및 1사이클 동안 공격 2 증가</t>
  </si>
  <si>
    <t>RLC_Rare_001</t>
  </si>
  <si>
    <t>미약한 신혈</t>
  </si>
  <si>
    <t>전투 종료 시 최대 체력이 1 증가</t>
  </si>
  <si>
    <t>RLC_Surface_Q001</t>
  </si>
  <si>
    <t>라바 슬라임의 정수</t>
  </si>
  <si>
    <t>전투 시작 시 적 전체에게 1사이클 동안 용암 1 부여</t>
  </si>
  <si>
    <t>RLC_Surface_Q002</t>
  </si>
  <si>
    <t>아이스 슬라임의 정수</t>
  </si>
  <si>
    <t>전투 시작 시 적 전체에게 1사이클 동안 얼음 1 부여</t>
  </si>
  <si>
    <t>RLC_Surface_Q003</t>
  </si>
  <si>
    <t>에이션트 슬라임의 정수</t>
  </si>
  <si>
    <t>유물 획득 시 최대 체력 10 증가</t>
  </si>
  <si>
    <t>RLC_Surface_Q004</t>
  </si>
  <si>
    <t>힐 슬라임의 정수</t>
  </si>
  <si>
    <t>RLC_Surface_Q005</t>
  </si>
  <si>
    <t>포이즌 슬라임의 정수</t>
  </si>
  <si>
    <t>적에게 피해를 입힌 경우, 1데미지의 중독을 2사이클 동안 부여</t>
  </si>
  <si>
    <t>RLC_Surface_Q006</t>
  </si>
  <si>
    <t>머드 슬라임의 정수</t>
  </si>
  <si>
    <t>보호막 획득 시 보호막 2를 추가로 획득한다.</t>
  </si>
  <si>
    <t>RLC_Surface_Q007</t>
  </si>
  <si>
    <t>퓨전 슬라임의 핵</t>
  </si>
  <si>
    <t>전투 시작 시 적 전체에게 1사이클 동안 퓨전 1 부여</t>
  </si>
  <si>
    <t>RLC_Surface_Q008</t>
  </si>
  <si>
    <t>슬라임 킹의 정수</t>
  </si>
  <si>
    <t>전투 시작 시 방어 2 증가</t>
  </si>
  <si>
    <t>RLC_Surface_Q009</t>
  </si>
  <si>
    <t>볼카누스의 심장</t>
  </si>
  <si>
    <t>RLC_Surface_Q010</t>
  </si>
  <si>
    <t>불완전한 불꽃 파편</t>
  </si>
  <si>
    <t>전투 시작 시 적 전체에게 6 데미지 부여</t>
  </si>
  <si>
    <t>RLC_Surface_Q011</t>
  </si>
  <si>
    <t>마그마 골렘의 핵</t>
  </si>
  <si>
    <t>보스 전투 시작 시 1사이클 동안 불굴(강철) 획득</t>
  </si>
  <si>
    <t>RLC_Surface_Q012</t>
  </si>
  <si>
    <t>마그마 임프의 불씨</t>
  </si>
  <si>
    <t>전투 시작 시 적 전체에게 1사이클 동안 허점(용암) 1 부여</t>
  </si>
  <si>
    <t>RLC_Surface_Q013</t>
  </si>
  <si>
    <t>애쉬 하운드의 송곳니</t>
  </si>
  <si>
    <t>RLC_Surface_Q014</t>
  </si>
  <si>
    <t>흑요석 전갈의 독침</t>
  </si>
  <si>
    <t>RLC_Surface_Q015</t>
  </si>
  <si>
    <t>정화된 잿빛 성물</t>
  </si>
  <si>
    <t>전투 시작 시 적 전체에게 1사이클 동안 공포 1 부여</t>
  </si>
  <si>
    <t>RLC_Surface_Q016</t>
  </si>
  <si>
    <t>에너지 결정</t>
  </si>
  <si>
    <t>전투 시작 시 에너지 1 증가</t>
  </si>
  <si>
    <t>RLC_Surface_Q017</t>
  </si>
  <si>
    <t>길드 정찰병의 나침반</t>
  </si>
  <si>
    <t>전투 종료 시 던전 재화 15개 추가 획득</t>
  </si>
  <si>
    <t>RLC_Surface_Q018</t>
  </si>
  <si>
    <t>마탑의 기록 수정구</t>
  </si>
  <si>
    <t>스킬 에너지를 소모할 때마다 보호막 3 획득</t>
  </si>
  <si>
    <t>RLC_Surface_Q019</t>
  </si>
  <si>
    <t>순례자의 묵주</t>
  </si>
  <si>
    <t>자신의 체력이 회복될 때마다 보호막 3 획득</t>
  </si>
  <si>
    <t>RLC_Event_Temp_001</t>
  </si>
  <si>
    <t>광폭의 진홍 영약</t>
  </si>
  <si>
    <t>전투 시작 시 공격 3 증가, 방어 1 감소 (3회 전투 후 소멸)</t>
  </si>
  <si>
    <t>RLC_Event_Temp_002</t>
  </si>
  <si>
    <t>중장갑의 창백 영약</t>
  </si>
  <si>
    <t>전투 시작 시 방어 3 증가, 공격 1 감소 (3회 전투 후 소멸)</t>
  </si>
  <si>
    <t>RLC_Event_Temp_003</t>
  </si>
  <si>
    <t>정제된 투지의 영약</t>
  </si>
  <si>
    <t>전투 시작 시 공격 1 증가 (페널티 없음, 3회 전투 후 소멸)</t>
  </si>
  <si>
    <t>RLC_Event_Temp_004</t>
  </si>
  <si>
    <t>과충전 마력 코어</t>
  </si>
  <si>
    <t>전투 시작 시 행동 에너지 1 추가 획득, 자신의 체력 3 감소 (3회 전투 후 소멸)</t>
  </si>
  <si>
    <t>RLC_Event_Temp_005</t>
  </si>
  <si>
    <t>유령화의 비약</t>
  </si>
  <si>
    <t>전투 시작 시 민첩(회피) 2 증가, 방어 1 감소 (3회 전투 후 소멸)</t>
  </si>
  <si>
    <t>RLC_Event_Temp_006</t>
  </si>
  <si>
    <t>심연의 탐욕 낙인</t>
  </si>
  <si>
    <t>전투 시작 시 방어 1 감소 또는 에너지 소모 페널티 (재화 강탈 선택지 대가용, 3회 전투 후 소멸)</t>
  </si>
  <si>
    <t>RLC_Event_Perm_001</t>
  </si>
  <si>
    <t>투신의 낙인</t>
  </si>
  <si>
    <t>전투 시작 시 자신의 공격 1 증가 (영구 유지)</t>
  </si>
  <si>
    <t>RLC_Event_Perm_002</t>
  </si>
  <si>
    <t>수호자의 낙인</t>
  </si>
  <si>
    <t>전투 시작 시 자신의 방어 1 증가 (영구 유지)</t>
  </si>
  <si>
    <t>RLC_Event_Perm_003</t>
  </si>
  <si>
    <t>질풍의 낙인</t>
  </si>
  <si>
    <t>전투 시작 시 자신의 민첩(회피) 1 증가 (영구 유지)</t>
  </si>
  <si>
    <t>RLC_Event_Perm_004</t>
  </si>
  <si>
    <t>불멸의 심장</t>
  </si>
  <si>
    <t>유물 획득 시 최대 체력 12 즉시 증가 (영구 유지)</t>
  </si>
  <si>
    <t>RLC_Event_Perm_005</t>
  </si>
  <si>
    <t>여신의 성유물</t>
  </si>
  <si>
    <t>전투 시작 시 자신의 공격 1 및 방어 1 증가 (영구 유지)</t>
  </si>
  <si>
    <t>RLC_Event_SLI_Temp01</t>
  </si>
  <si>
    <t>적색 여왕 로열 젤리</t>
  </si>
  <si>
    <t>[슬라임 왕국] 전투 시작 시 공격 3 증가 및 체력 3 회복 (3회 전투 후 소멸)</t>
  </si>
  <si>
    <t>RLC_Event_SLI_Temp02</t>
  </si>
  <si>
    <t>청색 여왕 로열 젤리</t>
  </si>
  <si>
    <t>[슬라임 왕국] 전투 시작 시 방어 3 증가 및 보호막 4 획득 (3회 전투 후 소멸)</t>
  </si>
  <si>
    <t>RLC_Event_LAV_Temp01</t>
  </si>
  <si>
    <t>화산신의 업화 각인</t>
  </si>
  <si>
    <t>[용암 지대] 전투 시작 시 공격 3 증가 및 적 전체 1사이클 용암 1 부여 (3회 전투 후 소멸)</t>
  </si>
  <si>
    <t>RLC_Event_LAV_Temp02</t>
  </si>
  <si>
    <t>현무암 마그마 코팅</t>
  </si>
  <si>
    <t>[용암 지대] 전투 시작 시 방어 3 증가 및 철벽 1 획득 (3회 전투 후 소멸)</t>
  </si>
  <si>
    <t>RLC_Event_LIZ_Temp01</t>
  </si>
  <si>
    <t>붉은 대주술사의 비전향</t>
  </si>
  <si>
    <t>[리자드의 늪] 전투 시작 시 공격 4 증가 및 민첩(회피) 2 증가 (3회 전투 후 소멸)</t>
  </si>
  <si>
    <t>RLC_Event_LIZ_Temp02</t>
  </si>
  <si>
    <t>푸른 수호병의 비늘향</t>
  </si>
  <si>
    <t>[리자드의 늪] 전투 시작 시 방어 4 증가 및 철벽 2 획득 (3회 전투 후 소멸)</t>
  </si>
  <si>
    <t>RLC_Event_ELM_Temp01</t>
  </si>
  <si>
    <t>폭풍과 화염의 정령왕 각인</t>
  </si>
  <si>
    <t>[정령계] 전투 시작 시 공격 5 증가 및 행동 에너지 1 추가 획득 (3회 전투 후 소멸)</t>
  </si>
  <si>
    <t>RLC_Event_ELM_Temp02</t>
  </si>
  <si>
    <t>대지와 심해의 정령왕 각인</t>
  </si>
  <si>
    <t>[정령계] 전투 시작 시 방어 5 증가, 철벽 3 및 체력 6 회복 (3회 전투 후 소멸)</t>
  </si>
  <si>
    <t>⚙️ 유물(Relic) 가격 산정 기준 및 가중치 자동화 설정 시트 (Relic_Price_Config)</t>
  </si>
  <si>
    <t>※ 이 시트의 가중치(기본가, 수치 가중치, 계층 배율 등)를 수정하면 Relic_DataTable 시트의 상점 구매가(BuyPrice_Dungeon) 및 판매가가 실시간으로 자동 재계산됩니다.</t>
  </si>
  <si>
    <t>1. 계층별(RelicTier) 가격 배율 및 상·하한선 기준</t>
  </si>
  <si>
    <t>4. ActionKind 및 세부 효과 카테고리별 가격 산정 가중치 테이블 (표층 Surface 기준)</t>
  </si>
  <si>
    <t>계층 배율</t>
  </si>
  <si>
    <t>최소 하한가</t>
  </si>
  <si>
    <t>최대 상한가</t>
  </si>
  <si>
    <t>설명 / 비고</t>
  </si>
  <si>
    <t>세부 효과 카테고리</t>
  </si>
  <si>
    <t>연동 상태이상</t>
  </si>
  <si>
    <t>기본 베이스가</t>
  </si>
  <si>
    <t>BaseValue 가중치</t>
  </si>
  <si>
    <t>StatusValue 가중치</t>
  </si>
  <si>
    <t>표층 목표 가격대</t>
  </si>
  <si>
    <t>카테고리 밸런싱 기준 설명</t>
  </si>
  <si>
    <t>표층 유물 기본 기준 (210 ~ 350 골드 한도)</t>
  </si>
  <si>
    <t>경제 관련 (재화 획득)</t>
  </si>
  <si>
    <t>210 ~ 220</t>
  </si>
  <si>
    <t>골드/던전 재화 획득 유물은 구매 부담을 낮추기 위해 최저가 대역으로 책정</t>
  </si>
  <si>
    <t>중층 유물 (표층의 1.5배, 상한 525 골드)</t>
  </si>
  <si>
    <t>에너지 관련 (행동력 추가)</t>
  </si>
  <si>
    <t>330 내외</t>
  </si>
  <si>
    <t>전투 턴 운영의 핵심 자원이므로 표층 기준 330골드 수준으로 상향 책정</t>
  </si>
  <si>
    <t>심층 유물 (표층의 2.0배, 상한 700 골드)</t>
  </si>
  <si>
    <t>방어 증가 [아군 방어 상승]</t>
  </si>
  <si>
    <t>305 ~ 330</t>
  </si>
  <si>
    <t>방어 스탯 상승(가호): 수치 1일 때 305, 수치 2일 때 330으로 에너지 유물과 동급 체급</t>
  </si>
  <si>
    <t>기본/몬스터/클래스 기본 유물</t>
  </si>
  <si>
    <t>방어 스탯 상승(견고): 수치 1일 때 305, 수치 2일 때 330으로 스케일링</t>
  </si>
  <si>
    <t>업그레이드 유물 (중층급 가치 적용)</t>
  </si>
  <si>
    <t>방어 증가 [광역 방어 상승]</t>
  </si>
  <si>
    <t>315 ~ 340</t>
  </si>
  <si>
    <t>아군 전체 방어 스탯 상승 (광역 버프 가산 반영)</t>
  </si>
  <si>
    <t>방어 증가 [받는 피해 감소]</t>
  </si>
  <si>
    <t>철벽(피격 데미지 고정 감소): 방어 증가 계열과 동일하게 305~330 대역 형성</t>
  </si>
  <si>
    <t>2. 발동 타이밍 및 지속시간(사이클) 보정 규칙 요약</t>
  </si>
  <si>
    <t>방어 증가 [적 공격/화력 감소]</t>
  </si>
  <si>
    <t>290 ~ 310</t>
  </si>
  <si>
    <t>적 전체 공포(최종 데미지 25% 감소) 부여로 아군 생존력 기여</t>
  </si>
  <si>
    <t>구분 항목</t>
  </si>
  <si>
    <t>조건 값</t>
  </si>
  <si>
    <t>적용 방식</t>
  </si>
  <si>
    <t>보정 수치</t>
  </si>
  <si>
    <t>세부 설명</t>
  </si>
  <si>
    <t>방어 증가 [적 공격 스탯 감소]</t>
  </si>
  <si>
    <t>295 ~ 315</t>
  </si>
  <si>
    <t>적 전체 얼음(허약: 공격 스탯 감소) 부여</t>
  </si>
  <si>
    <t>획득 시 즉발</t>
  </si>
  <si>
    <t>고정 가격</t>
  </si>
  <si>
    <t>유물 획득 시 즉시 발동하는 효과는 무조건 0원 처리</t>
  </si>
  <si>
    <t>공격 증가 [아군 공격 상승]</t>
  </si>
  <si>
    <t>공격 스탯 상승(용기): 수치 1일 때 305, 수치 2일 때 330으로 수치 비례 상승</t>
  </si>
  <si>
    <t>상점 미등장</t>
  </si>
  <si>
    <t>Quest / Monster</t>
  </si>
  <si>
    <t>상점가 -1</t>
  </si>
  <si>
    <t>구매 불가 유물은 상점가 -1, 판매가는 이론적 가치의 70% 자동 산출</t>
  </si>
  <si>
    <t>공격 증가 [광역 공격 상승]</t>
  </si>
  <si>
    <t>아군 전체 공격 스탯 상승 (광역 버프 가산 반영)</t>
  </si>
  <si>
    <t>영구 지속</t>
  </si>
  <si>
    <t>StatusDuration = -1</t>
  </si>
  <si>
    <t>고정 가산</t>
  </si>
  <si>
    <t>전투 종료까지 영구 지속(기본가 및 StatusValue 가중치에 이미 반영)</t>
  </si>
  <si>
    <t>공격 증가 [적 받는 피해 증가]</t>
  </si>
  <si>
    <t>적 전체 급소(받는 데미지 25% 증가) 부여</t>
  </si>
  <si>
    <t>사이클 지속</t>
  </si>
  <si>
    <t>StatusDuration &gt; 1</t>
  </si>
  <si>
    <t>사이클 비례</t>
  </si>
  <si>
    <t>1사이클 초과 지속 시 추가 1사이클당 +10점 보정 (과도한 가격 점프 방지)</t>
  </si>
  <si>
    <t>공격 증가 [적 방어 스탯 감소]</t>
  </si>
  <si>
    <t>적 전체 용암(허점: 방어 스탯 감소) 부여</t>
  </si>
  <si>
    <t>던전/골드 판매</t>
  </si>
  <si>
    <t>SellPrice 연동</t>
  </si>
  <si>
    <t>비율 자동계산</t>
  </si>
  <si>
    <t>던전 판매가 = 구매가×0.7 (단, OnGainRelic은 0원) / 골드 판매가 = ×1.3</t>
  </si>
  <si>
    <t>방어 관련 [보호막 획득]</t>
  </si>
  <si>
    <t>285 ~ 315</t>
  </si>
  <si>
    <t>타격/스킬/회복 시 보호막 획득 (BaseValue 수치당 +15 가산)</t>
  </si>
  <si>
    <t>방어 관련 [광역 보호막 획득]</t>
  </si>
  <si>
    <t>300 ~ 350</t>
  </si>
  <si>
    <t>아군 전체 보호막 부여</t>
  </si>
  <si>
    <t>3. 계층별 유물 이론적 구매 가치(기준가) 요약 통계</t>
  </si>
  <si>
    <t>방어 관련 [체력 회복]</t>
  </si>
  <si>
    <t>315 ~ 350</t>
  </si>
  <si>
    <t>전투/휴식 시 체력 회복 (BaseValue 수치당 +15 가산, 상한 350 방어)</t>
  </si>
  <si>
    <t>계층 (Tier)</t>
  </si>
  <si>
    <t>유물 수</t>
  </si>
  <si>
    <t>평균 산출가</t>
  </si>
  <si>
    <t>최소 산출가</t>
  </si>
  <si>
    <t>최대 산출가</t>
  </si>
  <si>
    <t>방어 관련 [회피율 증가]</t>
  </si>
  <si>
    <t>310 ~ 330</t>
  </si>
  <si>
    <t>민첩(회피 스탯 증가) 상시 버프</t>
  </si>
  <si>
    <t>Surface (표층)</t>
  </si>
  <si>
    <t>방어 관련 [불굴: 피해 1 고정]</t>
  </si>
  <si>
    <t>1사이클 동안 받는 피해 1 고정 (특수 생존 버프)</t>
  </si>
  <si>
    <t>Mid (중층 1.5x)</t>
  </si>
  <si>
    <t>방어 관련 [강철: 피해 1 고정]</t>
  </si>
  <si>
    <t>보스전 시작 시 1사이클 동안 불굴(강철) 획득</t>
  </si>
  <si>
    <t>Deep (심층 2.0x)</t>
  </si>
  <si>
    <t>방어 관련 [실명: 피해 1 고정]</t>
  </si>
  <si>
    <t>전투 시작 시 1사이클 동안 불굴(실명) 획득</t>
  </si>
  <si>
    <t>방어 관련 [정령화: 피해 1 고정]</t>
  </si>
  <si>
    <t>전투 시작 시 1사이클 동안 불굴(정령화) 획득</t>
  </si>
  <si>
    <t>방어 관련 [특수 불굴]</t>
  </si>
  <si>
    <t>아군 생존 시 데미지 1 고정 (몬스터 전용)</t>
  </si>
  <si>
    <t>방어 관련 [전투 부활]</t>
  </si>
  <si>
    <t>330 ~ 350</t>
  </si>
  <si>
    <t>사망 시 부활 효과</t>
  </si>
  <si>
    <t>광역 피해 [전체 데미지]</t>
  </si>
  <si>
    <t>290 ~ 320</t>
  </si>
  <si>
    <t>적 전체 즉발 광역 데미지 (BaseValue 수치당 +10 가산)</t>
  </si>
  <si>
    <t>공격 관련 [중독 지속 피해]</t>
  </si>
  <si>
    <t>타격 시 중독 도트 데미지 부여</t>
  </si>
  <si>
    <t>공격 관련 [복합 상태이상]</t>
  </si>
  <si>
    <t>적 전체 퓨전(중독/용암/얼음 랜덤) 부여</t>
  </si>
  <si>
    <t>유틸/성장 [최대 체력 증가]</t>
  </si>
  <si>
    <t>250 (0원)</t>
  </si>
  <si>
    <t>OnGainRelic일 경우 0원 처리, 일반 트리거(전투 종료 시 등)일 경우 기본 공식 적용</t>
  </si>
  <si>
    <t>유틸/성장 [랜덤 스킬 강화]</t>
  </si>
  <si>
    <t>0원 (즉발)</t>
  </si>
  <si>
    <t>OnGainRelic 트리거이므로 상점가 0원 자동 처리</t>
  </si>
  <si>
    <t>공격 증가 [보호막 관통 증폭]</t>
  </si>
  <si>
    <t>300 ~ 320</t>
  </si>
  <si>
    <t>보호막 보유 대상 공격 시 피해량 % 증가 (무도가 전용 패시브)</t>
  </si>
  <si>
    <t>방어 관련 [반격 부여]</t>
  </si>
  <si>
    <t>전투/방어 시 반격 버프 부여</t>
  </si>
  <si>
    <t>방어 관련 [피격 흡수]</t>
  </si>
  <si>
    <t>피격 시 데미지 비례 체력 흡수 버프 부여</t>
  </si>
  <si>
    <t>공격 관련 [적 내상 부여]</t>
  </si>
  <si>
    <t>295 ~ 325</t>
  </si>
  <si>
    <t>적 전체에게 스킬 에너지 소모 시 피해를 입히는 내상 부여</t>
  </si>
  <si>
    <t>복합 효과 [체력 회복 + 공격 상승]</t>
  </si>
  <si>
    <t>체력 회복 및 공격 스탯 동시 증가 (심층 코어 유물)</t>
  </si>
  <si>
    <t>단일 공격 [기본 피해]</t>
  </si>
  <si>
    <t>단일 적 기본 공격 스킬</t>
  </si>
  <si>
    <t>단일 공격 [다단 피해]</t>
  </si>
  <si>
    <t>290 ~ 330</t>
  </si>
  <si>
    <t>단일 적 다단 히트 공격 스킬 (타수 가산 반영)</t>
  </si>
  <si>
    <t>복합 공격 [단일+광역 피해]</t>
  </si>
  <si>
    <t>300 ~ 330</t>
  </si>
  <si>
    <t>주 대상 피해 + 적 전체 추가 피해</t>
  </si>
  <si>
    <t>광역 공격 [다단 피해]</t>
  </si>
  <si>
    <t>300 ~ 340</t>
  </si>
  <si>
    <t>적 전체 다단 히트 공격 스킬</t>
  </si>
  <si>
    <t>단일 공격 [피해+급소 부여]</t>
  </si>
  <si>
    <t>단일 피해 후 급소 부여</t>
  </si>
  <si>
    <t>광역 공격 [피해+급소 부여]</t>
  </si>
  <si>
    <t>310 ~ 340</t>
  </si>
  <si>
    <t>광역 피해 후 급소 부여</t>
  </si>
  <si>
    <t>단일 공격 [피해+용암 부여]</t>
  </si>
  <si>
    <t>단일 피해 후 방어 감소(용암) 부여</t>
  </si>
  <si>
    <t>광역 공격 [피해+용암 부여]</t>
  </si>
  <si>
    <t>305 ~ 340</t>
  </si>
  <si>
    <t>광역 피해 후 방어 감소(용암) 부여</t>
  </si>
  <si>
    <t>광역 공격 [피해+얼음 부여]</t>
  </si>
  <si>
    <t>광역 피해 후 공격 감소(얼음) 부여</t>
  </si>
  <si>
    <t>광역 공격 [피해+중독 부여]</t>
  </si>
  <si>
    <t>광역 피해 후 중독 부여</t>
  </si>
  <si>
    <t>광역 공격 [피해+산성 부여]</t>
  </si>
  <si>
    <t>광역 피해 후 에너지 소모 증가(산성) 부여</t>
  </si>
  <si>
    <t>광역 공격 [피해+어둠 부여]</t>
  </si>
  <si>
    <t>광역 피해 후 에너지 소모 증가(어둠) 부여</t>
  </si>
  <si>
    <t>광역 공격 [피해+침수 부여]</t>
  </si>
  <si>
    <t>광역 피해 후 공격 감소(침수) 부여</t>
  </si>
  <si>
    <t>광역 공격 [피해+공포 부여]</t>
  </si>
  <si>
    <t>310 ~ 345</t>
  </si>
  <si>
    <t>광역 피해 후 공포 부여</t>
  </si>
  <si>
    <t>광역 공격 [피해+역풍 부여]</t>
  </si>
  <si>
    <t>광역 피해 후 공포(역풍) 부여</t>
  </si>
  <si>
    <t>광역 공격 [피해+퓨전 부여]</t>
  </si>
  <si>
    <t>광역 피해 후 퓨전 디버프 부여</t>
  </si>
  <si>
    <t>단일 공격 [피해+내상 부여]</t>
  </si>
  <si>
    <t>단일 피해 후 내상 부여</t>
  </si>
  <si>
    <t>광역 공격 [피해+내상 부여]</t>
  </si>
  <si>
    <t>광역 피해 후 내상 부여</t>
  </si>
  <si>
    <t>공방일체 [단일 피해+보호막]</t>
  </si>
  <si>
    <t>300 ~ 335</t>
  </si>
  <si>
    <t>단일 공격 및 보호막 동시 획득</t>
  </si>
  <si>
    <t>공방일체 [광역 피해+보호막]</t>
  </si>
  <si>
    <t>광역 공격 및 보호막 동시 획득</t>
  </si>
  <si>
    <t>공방일체 [단일 피해+보호막+강철]</t>
  </si>
  <si>
    <t>320 ~ 350</t>
  </si>
  <si>
    <t>단일 공격 및 보호막+강철 획득</t>
  </si>
  <si>
    <t>공방일체 [광역 피해+보호막+강철]</t>
  </si>
  <si>
    <t>325 ~ 350</t>
  </si>
  <si>
    <t>광역 공격 및 보호막+강철 획득</t>
  </si>
  <si>
    <t>공방일체 [단일 피해+자힐]</t>
  </si>
  <si>
    <t>단일 공격 및 자신 체력 회복</t>
  </si>
  <si>
    <t>공방일체 [광역 피해+자힐]</t>
  </si>
  <si>
    <t>광역 공격 및 자신 체력 회복</t>
  </si>
  <si>
    <t>복합 공격 [광역 피해+자힐+얼음]</t>
  </si>
  <si>
    <t>광역 공격 및 자힐 후 얼음 부여</t>
  </si>
  <si>
    <t>자해 공격 [단일 고화력]</t>
  </si>
  <si>
    <t>체력 소모 단일 고화력 공격</t>
  </si>
  <si>
    <t>혈마공 [단일 자해+조건부 흡혈]</t>
  </si>
  <si>
    <t>체력 소모 단일 공격 및 체력 타격 시 회복</t>
  </si>
  <si>
    <t>혈마공 [연타 자해+조건부 흡혈]</t>
  </si>
  <si>
    <t>305 ~ 345</t>
  </si>
  <si>
    <t>체력 소모 다단 공격 및 타격당 회복</t>
  </si>
  <si>
    <t>혈마공 [광역 자해+조건부 흡혈]</t>
  </si>
  <si>
    <t>체력 소모 광역 공격 및 타격 적 수 비례 회복</t>
  </si>
  <si>
    <t>혈마공 [자해 공격력 증가]</t>
  </si>
  <si>
    <t>체력 소모 후 자신 공격력 대폭 증가</t>
  </si>
  <si>
    <t>방어 관련 [보호막+반격]</t>
  </si>
  <si>
    <t>보호막 생성 및 반격 부여</t>
  </si>
  <si>
    <t>방어 관련 [보호막+견고]</t>
  </si>
  <si>
    <t>보호막 생성 및 방어 증가(견고) 부여</t>
  </si>
  <si>
    <t>방어 관련 [보호막+가호]</t>
  </si>
  <si>
    <t>보호막 생성 및 방어 증가(가호) 부여</t>
  </si>
  <si>
    <t>방어 관련 [보호막+민첩]</t>
  </si>
  <si>
    <t>보호막 생성 및 회피 증가(민첩) 부여</t>
  </si>
  <si>
    <t>방어 관련 [보호막+철벽]</t>
  </si>
  <si>
    <t>보호막 생성 및 받는 피해 감소(철벽) 부여</t>
  </si>
  <si>
    <t>방어 관련 [보호막+흡수]</t>
  </si>
  <si>
    <t>보호막 생성 및 피격 시 체력 흡수 부여</t>
  </si>
  <si>
    <t>방어 관련 [보호막+광역 중독]</t>
  </si>
  <si>
    <t>보호막 생성 및 적 전체 중독 부여</t>
  </si>
  <si>
    <t>회복 관련 [단일 아군 회복]</t>
  </si>
  <si>
    <t>아군 1명 체력 회복</t>
  </si>
  <si>
    <t>회복 관련 [전체 아군 회복]</t>
  </si>
  <si>
    <t>아군 전체 체력 회복</t>
  </si>
  <si>
    <t>복합 회복 [전체 회복+용기]</t>
  </si>
  <si>
    <t>315 ~ 345</t>
  </si>
  <si>
    <t>아군 전체 체력 회복 및 공격력 증가</t>
  </si>
  <si>
    <t>복합 회복 [자힐+가호]</t>
  </si>
  <si>
    <t>자신 체력 회복 및 방어 증가(가호) 부여</t>
  </si>
  <si>
    <t>복합 유틸 [에너지 회복+가호]</t>
  </si>
  <si>
    <t>행동 에너지 회복 및 방어 증가(가호) 부여</t>
  </si>
  <si>
    <t>복합 유틸 [에너지 회복+불굴]</t>
  </si>
  <si>
    <t>335 ~ 350</t>
  </si>
  <si>
    <t>행동 에너지 회복 및 불굴 부여</t>
  </si>
  <si>
    <t>디버프 [적 전체 어둠]</t>
  </si>
  <si>
    <t>적 전체 과욕(어둠) 부여</t>
  </si>
  <si>
    <t>디버프 [적 전체 침수]</t>
  </si>
  <si>
    <t>적 전체 허약(침수) 부여</t>
  </si>
  <si>
    <t>디버프 [적 전체 역풍]</t>
  </si>
  <si>
    <t>적 전체 공포(역풍) 부여</t>
  </si>
  <si>
    <t>복합 효과 [보호막 획득 + 공격 상승]</t>
  </si>
  <si>
    <t>보호막 획득 및 공격 스탯 동시 증가 (심층 코어 유물)</t>
  </si>
  <si>
    <t>복합 공격 [단일+광역+용암 부여]</t>
  </si>
  <si>
    <t>주 대상 피해 + 광역 피해 + 용암 부여</t>
  </si>
  <si>
    <t>복합 공격 [단일+광역+급소 부여]</t>
  </si>
  <si>
    <t>주 대상 피해 + 광역 피해 + 급소 부여</t>
  </si>
  <si>
    <t>복합 유틸 [에너지 회복+용기]</t>
  </si>
  <si>
    <t>행동 에너지 회복 및 공격력 증가(용기) 부여</t>
  </si>
  <si>
    <t>광역 방어 [전체 보호막+전체 견고]</t>
  </si>
  <si>
    <t>아군 전체 보호막 생성 및 방어 증가</t>
  </si>
  <si>
    <t>광역 버프 [전체 용기+전체 견고]</t>
  </si>
  <si>
    <t>아군 전체 공격 및 방어 동시 증가</t>
  </si>
  <si>
    <t>단일 공격 [다단 피해+급소 부여]</t>
  </si>
  <si>
    <t>단일 다단 피해 후 급소 부여</t>
  </si>
  <si>
    <t>공방일체 [단일 피해+회피 증가]</t>
  </si>
  <si>
    <t>단일 피해 후 자신 회피 증가</t>
  </si>
  <si>
    <t>복합 버프 [자신 회피+공격 증가]</t>
  </si>
  <si>
    <t>자신의 공격과 회피 동시 증가</t>
  </si>
  <si>
    <t>복합 방어 [자신 회피+반격 부여]</t>
  </si>
  <si>
    <t>자신의 회피 증가 및 반격 함정 설치</t>
  </si>
  <si>
    <t>복합 공격 [단일+광역+중독 부여]</t>
  </si>
  <si>
    <t>주 대상 피해 + 광역 피해 + 전체 중독 부여</t>
  </si>
  <si>
    <t>복합 유틸 [에너지 회복+실명 불굴]</t>
  </si>
  <si>
    <t>행동 에너지 회복 및 불굴(실명) 부여</t>
  </si>
  <si>
    <t>방어 관련 [체술: 회피 피해 경감]</t>
  </si>
  <si>
    <t>회피 수치만큼 받는 피해 감소 및 이하 피해 무효화 (암살자 전용 패시브)</t>
  </si>
  <si>
    <t>공격 관련 [단일 피해+중독 부여]</t>
  </si>
  <si>
    <t>단일 피해 및 중독 도트 부여</t>
  </si>
  <si>
    <t>복합 기술 [회피 증가+광역 중독]</t>
  </si>
  <si>
    <t>자신 회피 증가 및 적 전체 중독 부여</t>
  </si>
  <si>
    <t>디버프 [적 전체 산성(과욕)]</t>
  </si>
  <si>
    <t>적 전체 에너지 소모 증가 부여</t>
  </si>
  <si>
    <t>공격 관련 [적 전체 중독 부여]</t>
  </si>
  <si>
    <t>적 전체 중독 도트 데미지 부여</t>
  </si>
  <si>
    <t>복합 디버프 [적 전체 급소+공포]</t>
  </si>
  <si>
    <t>적 전체 급소 및 공포 동시 부여 (심층 암살자 코어 유물)</t>
  </si>
  <si>
    <t>Name</t>
  </si>
  <si>
    <t>예: RLC_Paladin_001</t>
  </si>
  <si>
    <t>인게임 UI에 표시될 유물 이름 (한글).</t>
  </si>
  <si>
    <t>예: 자애로운 빛의 성모상</t>
  </si>
  <si>
    <t>인게임 UI에 표시될 유물 툴팁 설명 (한글).</t>
  </si>
  <si>
    <t>예: 방어도 획득 시 1/3 체력 회복</t>
  </si>
  <si>
    <t>유물의 등급 (높을수록 희귀함).</t>
  </si>
  <si>
    <t>예: 1, 2, 3</t>
  </si>
  <si>
    <t>Enum</t>
  </si>
  <si>
    <t>유물 효과가 발동되는 이벤트 시점.</t>
  </si>
  <si>
    <t>예:  OnTakeDamage</t>
  </si>
  <si>
    <t>발동할 효과의 종류 (스킬과 동일 구조).</t>
  </si>
  <si>
    <t>예: HealSelf</t>
  </si>
  <si>
    <t>효과를 적용할 대상.</t>
  </si>
  <si>
    <t>예: Self, Enemy, Attacker</t>
  </si>
  <si>
    <t>기본 수치 (고정 힐/데미지 등).</t>
  </si>
  <si>
    <t>예: 50.0 (은화 획득량)</t>
  </si>
  <si>
    <t>계수를 적용할 스탯 (공격력, 방어력 등).</t>
  </si>
  <si>
    <t>예: Shield (방어막)</t>
  </si>
  <si>
    <t>스탯에 곱해질 계수.</t>
  </si>
  <si>
    <t>예: 0.33 (33%)</t>
  </si>
  <si>
    <t>FName</t>
  </si>
  <si>
    <t>부여할 상태이상 이름 (Enum_BuffDebuff의 State Name과 일치해야 함).</t>
  </si>
  <si>
    <t>예: Counter, Brave 등등</t>
  </si>
  <si>
    <t>OnSkillUsed가 지정된 스킬 or SkillType</t>
  </si>
  <si>
    <t>예: SK_PAL_001 or Attack</t>
  </si>
  <si>
    <t>상태이상 지속 사이클 수</t>
  </si>
  <si>
    <t>예: 단위: 사이클, -1이면 영구지속(전투 종료시까지)</t>
  </si>
  <si>
    <t>일시적 이벤트 유물의 유지 전투 횟수 (-1이면 영구 지속, 양수면 해당 횟수만큼 전투 종료 후 소멸).</t>
  </si>
  <si>
    <t>예: -1(영구 유지), 3(3회 전투 후 소멸)</t>
  </si>
  <si>
    <t>이 유물을 획득할 수 있는 주체.</t>
  </si>
  <si>
    <t>예: Paladin, Common, MonsterOnly</t>
  </si>
  <si>
    <t>상점에서 유물 구매 시 필요한 던전 재화 가격.</t>
  </si>
  <si>
    <t>예: 100</t>
  </si>
  <si>
    <t>상점에 판매할 때 얻는 던전 재화.</t>
  </si>
  <si>
    <t>예: 70</t>
  </si>
  <si>
    <t>던전 탈출 시 판매할 때 얻는 골드.</t>
  </si>
  <si>
    <t>예: 500</t>
  </si>
  <si>
    <t>예상 가격안</t>
  </si>
  <si>
    <t>전투가 시작될 때 발동</t>
  </si>
  <si>
    <t>1번만 발동</t>
  </si>
  <si>
    <t>자신의 턴이 시작될 때 발동</t>
  </si>
  <si>
    <t>매 턴 발동, 에너지가 최대치로 회복된 이후에 발동</t>
  </si>
  <si>
    <t>적을 공격하여 타격에 성공했을 때 발동</t>
  </si>
  <si>
    <t>자신의 공격으로 적의 체력을 깍은 경우에만 발동</t>
  </si>
  <si>
    <t>적에게 피격 당하여 데미지를 입었을 때 발동</t>
  </si>
  <si>
    <t>자신의 체력이 깍인 경우에만 발동</t>
  </si>
  <si>
    <t>스킬/패시브로 보호막을 획득했을 때 발동</t>
  </si>
  <si>
    <t>보호막의 수치가 증가하였을 때마다 발동(1턴에 여러 번 가능)</t>
  </si>
  <si>
    <t>특정 스킬을 사용한 직후 발동</t>
  </si>
  <si>
    <t>OnSkill 에 적힌 스킬이 발동 되었을 경우에 발동</t>
  </si>
  <si>
    <t>OnAllyTakeDamage</t>
  </si>
  <si>
    <t>아군이 피해를 입을 때 발동</t>
  </si>
  <si>
    <t>아군의 체력이 깍인 경우에만 발동</t>
  </si>
  <si>
    <t>전투가 종료될 때 발동</t>
  </si>
  <si>
    <t>자신의 턴이 종료될 때 발동</t>
  </si>
  <si>
    <t>매 턴 발동</t>
  </si>
  <si>
    <t>자신이 사망할 경우</t>
  </si>
  <si>
    <t>BaseValue 만큼 발동</t>
  </si>
  <si>
    <t>에너지를 소모할 때 발동</t>
  </si>
  <si>
    <t>에너지를 소모할 때마다 발동</t>
  </si>
  <si>
    <t>스킬 에너지를 소모할 때 발동</t>
  </si>
  <si>
    <t>스킬 에너지를 소모할 때마다 발동</t>
  </si>
  <si>
    <t>유물을 획득했을 때 발동</t>
  </si>
  <si>
    <t>유물을 획득했을 때 발동. (유물을 판매해도 효과는 지속된다.)(판매가는 왠만하면 0원)</t>
  </si>
  <si>
    <t>휴식터에 들어갔을 때 발동</t>
  </si>
  <si>
    <t>휴식터 당 1번 발동</t>
  </si>
  <si>
    <t>가디언 전투 시작 시 발동</t>
  </si>
  <si>
    <t>보스 전투 시작 시 발동</t>
  </si>
  <si>
    <t>자신의 체력이 회복됐을 때 발동</t>
  </si>
  <si>
    <t>자신의 체력이 회복됐을 때마다 발동</t>
  </si>
  <si>
    <t>보호막 있는 대상을 공격했을 때 발동</t>
  </si>
  <si>
    <t>보호막 있는 대상을 공격했을 때, 그 대상에게 가하는 피해가 증가한다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</si>
</sst>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배&quot;"/>
    <numFmt numFmtId="177" formatCode="#,##0.0"/>
  </numFmts>
  <fonts count="38">
    <font>
      <sz val="11"/>
      <color rgb="FF000000"/>
      <name val="맑은 고딕"/>
      <family val="2"/>
      <charset val="1"/>
    </font>
    <font>
      <b/>
      <sz val="10"/>
      <color rgb="FFE8C85A"/>
      <name val="Arial"/>
      <family val="2"/>
      <charset val="1"/>
    </font>
    <font>
      <sz val="9.5"/>
      <name val="Arial"/>
      <family val="2"/>
      <charset val="1"/>
    </font>
    <font>
      <sz val="9.5"/>
      <name val="Noto Sans CJK SC"/>
      <family val="2"/>
    </font>
    <font>
      <sz val="9.5"/>
      <name val="맑은 고딕"/>
      <family val="3"/>
      <charset val="129"/>
    </font>
    <font>
      <sz val="9.5"/>
      <color rgb="FF000000"/>
      <name val="Arial"/>
      <family val="2"/>
      <charset val="1"/>
    </font>
    <font>
      <b/>
      <sz val="14"/>
      <color rgb="FF1F1710"/>
      <name val="Noto Sans CJK SC"/>
      <family val="2"/>
    </font>
    <font>
      <i/>
      <sz val="9"/>
      <color rgb="FF555555"/>
      <name val="Arial"/>
      <family val="2"/>
      <charset val="1"/>
    </font>
    <font>
      <b/>
      <sz val="10"/>
      <color rgb="FFE8C85A"/>
      <name val="Noto Sans CJK SC"/>
      <family val="2"/>
    </font>
    <font>
      <b/>
      <sz val="14"/>
      <color rgb="FF1F1710"/>
      <name val="Arial"/>
      <family val="2"/>
      <charset val="1"/>
    </font>
    <font>
      <sz val="9.5"/>
      <color rgb="FF000000"/>
      <name val="Noto Sans CJK SC"/>
      <family val="2"/>
    </font>
    <font>
      <sz val="9.5"/>
      <color rgb="FF000000"/>
      <name val="맑은 고딕"/>
      <family val="3"/>
      <charset val="129"/>
    </font>
    <font>
      <sz val="11"/>
      <color rgb="FF000000"/>
      <name val="Arial"/>
      <family val="2"/>
      <charset val="1"/>
    </font>
    <font>
      <b/>
      <sz val="18"/>
      <color rgb="FF000000"/>
      <name val="Noto Sans CJK SC"/>
      <family val="2"/>
    </font>
    <font>
      <sz val="11"/>
      <color rgb="FF000000"/>
      <name val="Noto Sans CJK SC"/>
      <family val="2"/>
    </font>
    <font>
      <b/>
      <sz val="11"/>
      <color rgb="FFE8C85A"/>
      <name val="Arial"/>
      <family val="2"/>
      <charset val="1"/>
    </font>
    <font>
      <b/>
      <sz val="11"/>
      <color rgb="FFE8C85A"/>
      <name val="맑은 고딕"/>
      <family val="3"/>
      <charset val="129"/>
    </font>
    <font>
      <b/>
      <sz val="11"/>
      <color rgb="FFE8C85A"/>
      <name val="Noto Sans CJK SC"/>
      <family val="2"/>
    </font>
    <font>
      <b/>
      <sz val="11"/>
      <color rgb="FFE8C85A"/>
      <name val="맑은 고딕"/>
      <family val="2"/>
      <charset val="129"/>
    </font>
    <font>
      <b/>
      <sz val="9.5"/>
      <color rgb="FF000000"/>
      <name val="Noto Sans CJK SC"/>
      <family val="2"/>
    </font>
    <font>
      <sz val="9.5"/>
      <color rgb="FF000000"/>
      <name val="Arial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FFC000"/>
      <name val="Arial"/>
      <family val="2"/>
      <charset val="1"/>
    </font>
    <font>
      <b/>
      <sz val="11"/>
      <color rgb="FFFFC000"/>
      <name val="Noto Sans CJK SC"/>
      <family val="2"/>
    </font>
    <font>
      <sz val="8"/>
      <name val="돋움"/>
      <family val="3"/>
      <charset val="129"/>
    </font>
    <font>
      <sz val="11"/>
      <color rgb="FF000000"/>
      <name val="Noto Sans CJK SC"/>
      <family val="3"/>
      <charset val="129"/>
    </font>
    <font>
      <sz val="9.5"/>
      <name val="Noto Sans CJK SC"/>
      <family val="3"/>
      <charset val="129"/>
    </font>
    <font>
      <b/>
      <sz val="11"/>
      <color rgb="FFFFC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9"/>
      <color rgb="FF4B556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sz val="10"/>
      <color rgb="FF1F2937"/>
      <name val="맑은 고딕"/>
      <family val="3"/>
      <charset val="129"/>
    </font>
    <font>
      <sz val="9.5"/>
      <name val="맑은 고딕"/>
      <family val="2"/>
      <charset val="129"/>
    </font>
    <font>
      <sz val="11"/>
      <color rgb="FF000000"/>
      <name val="Noto Sans CJK SC"/>
      <family val="2"/>
      <charset val="129"/>
    </font>
    <font>
      <sz val="9.5"/>
      <name val="Arial"/>
      <family val="3"/>
      <charset val="129"/>
    </font>
    <font>
      <sz val="1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1710"/>
        <bgColor rgb="FF000000"/>
      </patternFill>
    </fill>
    <fill>
      <patternFill patternType="solid">
        <fgColor rgb="FFEEECE1"/>
        <bgColor rgb="FFF4F1E9"/>
      </patternFill>
    </fill>
    <fill>
      <patternFill patternType="solid">
        <fgColor rgb="FFFFFFFF"/>
        <bgColor rgb="FFF4F1E9"/>
      </patternFill>
    </fill>
    <fill>
      <patternFill patternType="solid">
        <fgColor rgb="FFF4F1E9"/>
        <bgColor rgb="FFEEECE1"/>
      </patternFill>
    </fill>
    <fill>
      <patternFill patternType="solid">
        <fgColor rgb="FF000000"/>
        <bgColor rgb="FF1F1710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4338CA"/>
        <bgColor rgb="FF4338CA"/>
      </patternFill>
    </fill>
    <fill>
      <patternFill patternType="solid">
        <fgColor rgb="FF0F766E"/>
        <bgColor rgb="FF0F766E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3" borderId="0" xfId="0" applyFill="1"/>
    <xf numFmtId="0" fontId="4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0" fontId="0" fillId="0" borderId="2" xfId="0" applyBorder="1"/>
    <xf numFmtId="0" fontId="6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9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top"/>
    </xf>
    <xf numFmtId="0" fontId="5" fillId="4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4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wrapText="1"/>
    </xf>
    <xf numFmtId="0" fontId="5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14" fillId="0" borderId="2" xfId="0" applyFont="1" applyBorder="1"/>
    <xf numFmtId="0" fontId="20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3" fillId="4" borderId="2" xfId="0" applyFont="1" applyFill="1" applyBorder="1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22" fillId="6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23" fillId="6" borderId="2" xfId="0" applyFont="1" applyFill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21" fillId="0" borderId="2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top" wrapText="1"/>
    </xf>
    <xf numFmtId="0" fontId="26" fillId="4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27" fillId="6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3" fontId="12" fillId="0" borderId="2" xfId="0" applyNumberFormat="1" applyFont="1" applyBorder="1" applyAlignment="1">
      <alignment vertical="center" wrapText="1"/>
    </xf>
    <xf numFmtId="0" fontId="31" fillId="8" borderId="6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2" fillId="9" borderId="6" xfId="0" applyFont="1" applyFill="1" applyBorder="1" applyAlignment="1">
      <alignment horizontal="center" vertical="center" wrapText="1"/>
    </xf>
    <xf numFmtId="176" fontId="33" fillId="9" borderId="6" xfId="0" applyNumberFormat="1" applyFont="1" applyFill="1" applyBorder="1" applyAlignment="1">
      <alignment horizontal="right" vertical="center" wrapText="1"/>
    </xf>
    <xf numFmtId="3" fontId="33" fillId="9" borderId="6" xfId="0" applyNumberFormat="1" applyFont="1" applyFill="1" applyBorder="1" applyAlignment="1">
      <alignment horizontal="right" vertical="center" wrapText="1"/>
    </xf>
    <xf numFmtId="0" fontId="33" fillId="9" borderId="6" xfId="0" applyFont="1" applyFill="1" applyBorder="1" applyAlignment="1">
      <alignment horizontal="left" vertical="center" wrapText="1"/>
    </xf>
    <xf numFmtId="0" fontId="33" fillId="9" borderId="6" xfId="0" applyFont="1" applyFill="1" applyBorder="1" applyAlignment="1">
      <alignment horizontal="center" vertical="center" wrapText="1"/>
    </xf>
    <xf numFmtId="177" fontId="33" fillId="9" borderId="6" xfId="0" applyNumberFormat="1" applyFont="1" applyFill="1" applyBorder="1" applyAlignment="1">
      <alignment horizontal="right" vertical="center" wrapText="1"/>
    </xf>
    <xf numFmtId="0" fontId="32" fillId="10" borderId="6" xfId="0" applyFont="1" applyFill="1" applyBorder="1" applyAlignment="1">
      <alignment horizontal="center" vertical="center" wrapText="1"/>
    </xf>
    <xf numFmtId="176" fontId="33" fillId="10" borderId="6" xfId="0" applyNumberFormat="1" applyFont="1" applyFill="1" applyBorder="1" applyAlignment="1">
      <alignment horizontal="right" vertical="center" wrapText="1"/>
    </xf>
    <xf numFmtId="3" fontId="33" fillId="10" borderId="6" xfId="0" applyNumberFormat="1" applyFont="1" applyFill="1" applyBorder="1" applyAlignment="1">
      <alignment horizontal="right" vertical="center" wrapText="1"/>
    </xf>
    <xf numFmtId="0" fontId="33" fillId="10" borderId="6" xfId="0" applyFont="1" applyFill="1" applyBorder="1" applyAlignment="1">
      <alignment horizontal="left" vertical="center" wrapText="1"/>
    </xf>
    <xf numFmtId="0" fontId="33" fillId="10" borderId="6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right" vertical="center" wrapText="1"/>
    </xf>
    <xf numFmtId="0" fontId="33" fillId="10" borderId="6" xfId="0" applyFont="1" applyFill="1" applyBorder="1" applyAlignment="1">
      <alignment horizontal="right" vertical="center" wrapText="1"/>
    </xf>
    <xf numFmtId="0" fontId="31" fillId="11" borderId="6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26" fillId="3" borderId="2" xfId="0" applyFont="1" applyFill="1" applyBorder="1" applyAlignment="1">
      <alignment vertical="top" wrapText="1"/>
    </xf>
    <xf numFmtId="0" fontId="35" fillId="0" borderId="2" xfId="0" applyFont="1" applyBorder="1" applyAlignment="1">
      <alignment vertical="center" wrapText="1"/>
    </xf>
    <xf numFmtId="0" fontId="36" fillId="3" borderId="2" xfId="0" applyFont="1" applyFill="1" applyBorder="1" applyAlignment="1">
      <alignment vertical="top" wrapText="1"/>
    </xf>
    <xf numFmtId="0" fontId="37" fillId="4" borderId="2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14" fillId="0" borderId="0" xfId="0" applyFont="1" applyAlignment="1">
      <alignment horizontal="center"/>
    </xf>
    <xf numFmtId="0" fontId="0" fillId="0" borderId="5" xfId="0" applyBorder="1"/>
    <xf numFmtId="0" fontId="28" fillId="7" borderId="0" xfId="0" applyFont="1" applyFill="1" applyAlignment="1">
      <alignment horizontal="left" vertical="center" indent="1"/>
    </xf>
    <xf numFmtId="0" fontId="30" fillId="12" borderId="0" xfId="0" applyFont="1" applyFill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30" fillId="11" borderId="0" xfId="0" applyFont="1" applyFill="1" applyAlignment="1">
      <alignment horizontal="left" vertical="center" indent="1"/>
    </xf>
    <xf numFmtId="0" fontId="30" fillId="8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F1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E8C85A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03300"/>
      <rgbColor rgb="FF1F171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계층별</a:t>
            </a:r>
            <a:r>
              <a:rPr lang="en-US" altLang="ko-KR"/>
              <a:t>(</a:t>
            </a:r>
            <a:r>
              <a:rPr lang="en-US"/>
              <a:t>Surface / Mid / Deep) </a:t>
            </a:r>
            <a:r>
              <a:rPr lang="ko-KR" altLang="en-US"/>
              <a:t>유물 산출 가격 분포 </a:t>
            </a:r>
            <a:r>
              <a:rPr lang="en-US" altLang="ko-KR"/>
              <a:t>(</a:t>
            </a:r>
            <a:r>
              <a:rPr lang="ko-KR" altLang="en-US"/>
              <a:t>최소</a:t>
            </a:r>
            <a:r>
              <a:rPr lang="en-US" altLang="ko-KR"/>
              <a:t>·</a:t>
            </a:r>
            <a:r>
              <a:rPr lang="ko-KR" altLang="en-US"/>
              <a:t>평균</a:t>
            </a:r>
            <a:r>
              <a:rPr lang="en-US" altLang="ko-KR"/>
              <a:t>·</a:t>
            </a:r>
            <a:r>
              <a:rPr lang="ko-KR" altLang="en-US"/>
              <a:t>최대</a:t>
            </a:r>
            <a:r>
              <a:rPr lang="en-US" altLang="ko-KR"/>
              <a:t>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Relic_Price_Config!$C$20</c:f>
              <c:strCache>
                <c:ptCount val="1"/>
                <c:pt idx="0">
                  <c:v>평균 산출가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Relic_Price_Config!$A$21:$A$23</c:f>
              <c:strCache>
                <c:ptCount val="3"/>
                <c:pt idx="0">
                  <c:v>Surface (표층)</c:v>
                </c:pt>
                <c:pt idx="1">
                  <c:v>Mid (중층 1.5x)</c:v>
                </c:pt>
                <c:pt idx="2">
                  <c:v>Deep (심층 2.0x)</c:v>
                </c:pt>
              </c:strCache>
            </c:strRef>
          </c:cat>
          <c:val>
            <c:numRef>
              <c:f>Relic_Price_Config!$C$21:$C$23</c:f>
              <c:numCache>
                <c:formatCode>#,##0</c:formatCode>
                <c:ptCount val="3"/>
                <c:pt idx="0">
                  <c:v>307</c:v>
                </c:pt>
                <c:pt idx="1">
                  <c:v>485</c:v>
                </c:pt>
                <c:pt idx="2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3-431F-A595-5FE1A7B0A041}"/>
            </c:ext>
          </c:extLst>
        </c:ser>
        <c:ser>
          <c:idx val="1"/>
          <c:order val="1"/>
          <c:tx>
            <c:strRef>
              <c:f>Relic_Price_Config!$D$20</c:f>
              <c:strCache>
                <c:ptCount val="1"/>
                <c:pt idx="0">
                  <c:v>최소 산출가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Relic_Price_Config!$A$21:$A$23</c:f>
              <c:strCache>
                <c:ptCount val="3"/>
                <c:pt idx="0">
                  <c:v>Surface (표층)</c:v>
                </c:pt>
                <c:pt idx="1">
                  <c:v>Mid (중층 1.5x)</c:v>
                </c:pt>
                <c:pt idx="2">
                  <c:v>Deep (심층 2.0x)</c:v>
                </c:pt>
              </c:strCache>
            </c:strRef>
          </c:cat>
          <c:val>
            <c:numRef>
              <c:f>Relic_Price_Config!$D$21:$D$23</c:f>
              <c:numCache>
                <c:formatCode>#,##0</c:formatCode>
                <c:ptCount val="3"/>
                <c:pt idx="0">
                  <c:v>215</c:v>
                </c:pt>
                <c:pt idx="1">
                  <c:v>375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3-431F-A595-5FE1A7B0A041}"/>
            </c:ext>
          </c:extLst>
        </c:ser>
        <c:ser>
          <c:idx val="2"/>
          <c:order val="2"/>
          <c:tx>
            <c:strRef>
              <c:f>Relic_Price_Config!$E$20</c:f>
              <c:strCache>
                <c:ptCount val="1"/>
                <c:pt idx="0">
                  <c:v>최대 산출가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Relic_Price_Config!$A$21:$A$23</c:f>
              <c:strCache>
                <c:ptCount val="3"/>
                <c:pt idx="0">
                  <c:v>Surface (표층)</c:v>
                </c:pt>
                <c:pt idx="1">
                  <c:v>Mid (중층 1.5x)</c:v>
                </c:pt>
                <c:pt idx="2">
                  <c:v>Deep (심층 2.0x)</c:v>
                </c:pt>
              </c:strCache>
            </c:strRef>
          </c:cat>
          <c:val>
            <c:numRef>
              <c:f>Relic_Price_Config!$E$21:$E$23</c:f>
              <c:numCache>
                <c:formatCode>#,##0</c:formatCode>
                <c:ptCount val="3"/>
                <c:pt idx="0">
                  <c:v>350</c:v>
                </c:pt>
                <c:pt idx="1">
                  <c:v>525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3-431F-A595-5FE1A7B0A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유물 계층 </a:t>
                </a:r>
                <a:r>
                  <a:rPr lang="en-US" altLang="ko-KR"/>
                  <a:t>(</a:t>
                </a:r>
                <a:r>
                  <a:rPr lang="en-US"/>
                  <a:t>RelicTier)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가격 </a:t>
                </a:r>
                <a:r>
                  <a:rPr lang="en-US" altLang="ko-KR"/>
                  <a:t>(</a:t>
                </a:r>
                <a:r>
                  <a:rPr lang="ko-KR" altLang="en-US"/>
                  <a:t>던전 재화</a:t>
                </a:r>
                <a:r>
                  <a:rPr lang="en-US" altLang="ko-KR"/>
                  <a:t>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2"/>
  <sheetViews>
    <sheetView tabSelected="1" topLeftCell="U264" zoomScaleNormal="100" zoomScalePageLayoutView="60" workbookViewId="0">
      <selection activeCell="Y270" sqref="Y270"/>
    </sheetView>
  </sheetViews>
  <sheetFormatPr defaultColWidth="8.59765625" defaultRowHeight="17.399999999999999"/>
  <cols>
    <col min="1" max="1" width="26.69921875" customWidth="1"/>
    <col min="2" max="2" width="13.19921875" customWidth="1"/>
    <col min="3" max="3" width="20.296875" customWidth="1"/>
    <col min="4" max="4" width="16.09765625" customWidth="1"/>
    <col min="5" max="5" width="17" customWidth="1"/>
    <col min="6" max="6" width="13.3984375" customWidth="1"/>
    <col min="7" max="7" width="12.69921875" customWidth="1"/>
    <col min="8" max="8" width="17.59765625" customWidth="1"/>
    <col min="9" max="9" width="15.296875" customWidth="1"/>
    <col min="10" max="10" width="14.09765625" customWidth="1"/>
    <col min="11" max="11" width="17.69921875" customWidth="1"/>
    <col min="12" max="12" width="13.69921875" customWidth="1"/>
    <col min="13" max="13" width="11" customWidth="1"/>
    <col min="14" max="14" width="12" customWidth="1"/>
    <col min="15" max="15" width="13.296875" customWidth="1"/>
    <col min="16" max="16" width="17.5" customWidth="1"/>
    <col min="17" max="17" width="16.19921875" customWidth="1"/>
    <col min="18" max="18" width="14.8984375" customWidth="1"/>
    <col min="19" max="19" width="18.69921875" customWidth="1"/>
    <col min="20" max="20" width="16" customWidth="1"/>
    <col min="21" max="21" width="18.796875" customWidth="1"/>
    <col min="22" max="22" width="19.59765625" customWidth="1"/>
    <col min="23" max="23" width="18.19921875" customWidth="1"/>
    <col min="24" max="24" width="16" customWidth="1"/>
    <col min="25" max="25" width="48.69921875" customWidth="1"/>
    <col min="26" max="26" width="42" customWidth="1"/>
  </cols>
  <sheetData>
    <row r="1" spans="1:2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7.25" customHeight="1">
      <c r="A2" s="2" t="s">
        <v>28</v>
      </c>
      <c r="B2" s="2" t="s">
        <v>29</v>
      </c>
      <c r="C2" s="3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1</v>
      </c>
      <c r="K2" s="2">
        <v>0</v>
      </c>
      <c r="L2" s="2">
        <v>3</v>
      </c>
      <c r="M2" s="2" t="s">
        <v>37</v>
      </c>
      <c r="N2" s="2">
        <v>1</v>
      </c>
      <c r="O2" s="2">
        <v>2</v>
      </c>
      <c r="P2" s="2">
        <v>0</v>
      </c>
      <c r="Q2" s="2" t="s">
        <v>38</v>
      </c>
      <c r="R2" s="2">
        <v>0</v>
      </c>
      <c r="S2" s="2">
        <v>0</v>
      </c>
      <c r="T2" s="2">
        <v>0</v>
      </c>
      <c r="U2" s="2"/>
      <c r="V2" s="2"/>
      <c r="W2" s="2"/>
      <c r="X2" s="2"/>
      <c r="Y2" s="4" t="s">
        <v>39</v>
      </c>
      <c r="Z2" s="4"/>
      <c r="AA2" s="2">
        <f>IF(OR(D2="Monster", E2="Basic"), 0, ROUND((MIN(IFERROR(VLOOKUP(G2, Relic_Price_Config!$A$5:$E$9, 4, FALSE), 350), MAX(IFERROR(VLOOKUP(G2, Relic_Price_Config!$A$5:$E$9, 3, FALSE), 210), ROUND((IFERROR(VLOOKUP(H2, Relic_Price_Config!$G$5:$N$100, 4, FALSE), 280) + N(L2) * IF(N(O2)&gt;1, N(O2), 1) * IFERROR(VLOOKUP(H2, Relic_Price_Config!$G$5:$N$100, 5, FALSE), 10) + ABS(N(R2)) * IFERROR(VLOOKUP(H2, Relic_Price_Config!$G$5:$N$100, 6, FALSE), 15) + IF(N(S2)&gt;1, (N(S2)-1)*10, 0)) * IFERROR(VLOOKUP(G2, Relic_Price_Config!$A$5:$E$9, 2, FALSE), 1), 0))) * 0.1) / 5, 0) * 5)</f>
        <v>0</v>
      </c>
      <c r="AB2" s="2">
        <f t="shared" ref="AB2:AB65" si="0">IF(AA2&lt;=0, 0, ROUND((AA2*0.7)/5, 0)*5)</f>
        <v>0</v>
      </c>
    </row>
    <row r="3" spans="1:28" ht="17.25" customHeight="1">
      <c r="A3" s="5" t="s">
        <v>40</v>
      </c>
      <c r="B3" s="5" t="s">
        <v>41</v>
      </c>
      <c r="C3" s="6" t="s">
        <v>42</v>
      </c>
      <c r="D3" s="5" t="s">
        <v>31</v>
      </c>
      <c r="E3" s="5" t="s">
        <v>32</v>
      </c>
      <c r="F3" s="5" t="s">
        <v>43</v>
      </c>
      <c r="G3" s="5" t="s">
        <v>34</v>
      </c>
      <c r="H3" s="5" t="s">
        <v>44</v>
      </c>
      <c r="I3" s="5" t="s">
        <v>45</v>
      </c>
      <c r="J3" s="5">
        <v>1</v>
      </c>
      <c r="K3" s="5">
        <v>0</v>
      </c>
      <c r="L3" s="5">
        <v>6</v>
      </c>
      <c r="M3" s="5" t="s">
        <v>46</v>
      </c>
      <c r="N3" s="5">
        <v>1</v>
      </c>
      <c r="O3" s="5">
        <v>1</v>
      </c>
      <c r="P3" s="5">
        <v>0</v>
      </c>
      <c r="Q3" s="5" t="s">
        <v>38</v>
      </c>
      <c r="R3" s="5">
        <v>0</v>
      </c>
      <c r="S3" s="5">
        <v>0</v>
      </c>
      <c r="T3" s="5">
        <v>0</v>
      </c>
      <c r="U3" s="5"/>
      <c r="V3" s="5"/>
      <c r="W3" s="5"/>
      <c r="X3" s="5"/>
      <c r="Y3" s="6" t="s">
        <v>47</v>
      </c>
      <c r="Z3" s="6"/>
      <c r="AA3" s="5">
        <f>IF(OR(D3="Monster", E3="Basic"), 0, ROUND((MIN(IFERROR(VLOOKUP(G3, Relic_Price_Config!$A$5:$E$9, 4, FALSE), 350), MAX(IFERROR(VLOOKUP(G3, Relic_Price_Config!$A$5:$E$9, 3, FALSE), 210), ROUND((IFERROR(VLOOKUP(H3, Relic_Price_Config!$G$5:$N$100, 4, FALSE), 280) + N(L3) * IF(N(O3)&gt;1, N(O3), 1) * IFERROR(VLOOKUP(H3, Relic_Price_Config!$G$5:$N$100, 5, FALSE), 10) + ABS(N(R3)) * IFERROR(VLOOKUP(H3, Relic_Price_Config!$G$5:$N$100, 6, FALSE), 15) + IF(N(S3)&gt;1, (N(S3)-1)*10, 0)) * IFERROR(VLOOKUP(G3, Relic_Price_Config!$A$5:$E$9, 2, FALSE), 1), 0))) * 0.1) / 5, 0) * 5)</f>
        <v>0</v>
      </c>
      <c r="AB3" s="5">
        <f t="shared" si="0"/>
        <v>0</v>
      </c>
    </row>
    <row r="4" spans="1:28" ht="27" customHeight="1">
      <c r="A4" s="2" t="s">
        <v>48</v>
      </c>
      <c r="B4" s="2" t="s">
        <v>49</v>
      </c>
      <c r="C4" s="3" t="s">
        <v>50</v>
      </c>
      <c r="D4" s="2" t="s">
        <v>31</v>
      </c>
      <c r="E4" s="2" t="s">
        <v>32</v>
      </c>
      <c r="F4" s="2" t="s">
        <v>51</v>
      </c>
      <c r="G4" s="2" t="s">
        <v>34</v>
      </c>
      <c r="H4" s="2" t="s">
        <v>52</v>
      </c>
      <c r="I4" s="2" t="s">
        <v>45</v>
      </c>
      <c r="J4" s="2">
        <v>1</v>
      </c>
      <c r="K4" s="2">
        <v>0</v>
      </c>
      <c r="L4" s="2">
        <v>3</v>
      </c>
      <c r="M4" s="2" t="s">
        <v>46</v>
      </c>
      <c r="N4" s="2">
        <v>1</v>
      </c>
      <c r="O4" s="2">
        <v>1</v>
      </c>
      <c r="P4" s="2">
        <v>2</v>
      </c>
      <c r="Q4" s="2" t="s">
        <v>53</v>
      </c>
      <c r="R4" s="2">
        <v>1</v>
      </c>
      <c r="S4" s="2">
        <v>1</v>
      </c>
      <c r="T4" s="2">
        <v>0</v>
      </c>
      <c r="U4" s="2"/>
      <c r="V4" s="2"/>
      <c r="W4" s="2"/>
      <c r="X4" s="2"/>
      <c r="Y4" s="3" t="s">
        <v>54</v>
      </c>
      <c r="Z4" s="4" t="s">
        <v>55</v>
      </c>
      <c r="AA4" s="2">
        <f>IF(OR(D4="Monster", E4="Basic"), 0, ROUND((MIN(IFERROR(VLOOKUP(G4, Relic_Price_Config!$A$5:$E$9, 4, FALSE), 350), MAX(IFERROR(VLOOKUP(G4, Relic_Price_Config!$A$5:$E$9, 3, FALSE), 210), ROUND((IFERROR(VLOOKUP(H4, Relic_Price_Config!$G$5:$N$100, 4, FALSE), 280) + N(L4) * IF(N(O4)&gt;1, N(O4), 1) * IFERROR(VLOOKUP(H4, Relic_Price_Config!$G$5:$N$100, 5, FALSE), 10) + ABS(N(R4)) * IFERROR(VLOOKUP(H4, Relic_Price_Config!$G$5:$N$100, 6, FALSE), 15) + IF(N(S4)&gt;1, (N(S4)-1)*10, 0)) * IFERROR(VLOOKUP(G4, Relic_Price_Config!$A$5:$E$9, 2, FALSE), 1), 0))) * 0.1) / 5, 0) * 5)</f>
        <v>0</v>
      </c>
      <c r="AB4" s="2">
        <f t="shared" si="0"/>
        <v>0</v>
      </c>
    </row>
    <row r="5" spans="1:28" ht="17.25" customHeight="1">
      <c r="A5" s="5" t="s">
        <v>56</v>
      </c>
      <c r="B5" s="5" t="s">
        <v>57</v>
      </c>
      <c r="C5" s="6" t="s">
        <v>58</v>
      </c>
      <c r="D5" s="5" t="s">
        <v>59</v>
      </c>
      <c r="E5" s="5" t="s">
        <v>32</v>
      </c>
      <c r="F5" s="5" t="s">
        <v>33</v>
      </c>
      <c r="G5" s="5" t="s">
        <v>34</v>
      </c>
      <c r="H5" s="5" t="s">
        <v>60</v>
      </c>
      <c r="I5" s="5" t="s">
        <v>36</v>
      </c>
      <c r="J5" s="5">
        <v>1</v>
      </c>
      <c r="K5" s="5">
        <v>0</v>
      </c>
      <c r="L5" s="5">
        <v>5</v>
      </c>
      <c r="M5" s="5" t="s">
        <v>37</v>
      </c>
      <c r="N5" s="5">
        <v>1</v>
      </c>
      <c r="O5" s="5">
        <v>1</v>
      </c>
      <c r="P5" s="5">
        <v>2</v>
      </c>
      <c r="Q5" s="5" t="s">
        <v>38</v>
      </c>
      <c r="R5" s="5">
        <v>0</v>
      </c>
      <c r="S5" s="5">
        <v>0</v>
      </c>
      <c r="T5" s="5">
        <v>0</v>
      </c>
      <c r="U5" s="5"/>
      <c r="V5" s="5"/>
      <c r="W5" s="5"/>
      <c r="X5" s="5"/>
      <c r="Y5" s="7" t="s">
        <v>61</v>
      </c>
      <c r="Z5" s="7" t="s">
        <v>62</v>
      </c>
      <c r="AA5" s="5">
        <f>IF(OR(D5="Monster", E5="Basic"), 0, ROUND((MIN(IFERROR(VLOOKUP(G5, Relic_Price_Config!$A$5:$E$9, 4, FALSE), 350), MAX(IFERROR(VLOOKUP(G5, Relic_Price_Config!$A$5:$E$9, 3, FALSE), 210), ROUND((IFERROR(VLOOKUP(H5, Relic_Price_Config!$G$5:$N$100, 4, FALSE), 280) + N(L5) * IF(N(O5)&gt;1, N(O5), 1) * IFERROR(VLOOKUP(H5, Relic_Price_Config!$G$5:$N$100, 5, FALSE), 10) + ABS(N(R5)) * IFERROR(VLOOKUP(H5, Relic_Price_Config!$G$5:$N$100, 6, FALSE), 15) + IF(N(S5)&gt;1, (N(S5)-1)*10, 0)) * IFERROR(VLOOKUP(G5, Relic_Price_Config!$A$5:$E$9, 2, FALSE), 1), 0))) * 0.1) / 5, 0) * 5)</f>
        <v>0</v>
      </c>
      <c r="AB5" s="5">
        <f t="shared" si="0"/>
        <v>0</v>
      </c>
    </row>
    <row r="6" spans="1:28" s="8" customFormat="1" ht="17.25" customHeight="1">
      <c r="A6" s="2" t="s">
        <v>63</v>
      </c>
      <c r="B6" s="2" t="s">
        <v>64</v>
      </c>
      <c r="C6" s="3" t="s">
        <v>65</v>
      </c>
      <c r="D6" s="2" t="s">
        <v>59</v>
      </c>
      <c r="E6" s="2" t="s">
        <v>32</v>
      </c>
      <c r="F6" s="2" t="s">
        <v>43</v>
      </c>
      <c r="G6" s="2" t="s">
        <v>34</v>
      </c>
      <c r="H6" s="2" t="s">
        <v>44</v>
      </c>
      <c r="I6" s="2" t="s">
        <v>45</v>
      </c>
      <c r="J6" s="2">
        <v>1</v>
      </c>
      <c r="K6" s="2">
        <v>0</v>
      </c>
      <c r="L6" s="2">
        <v>5</v>
      </c>
      <c r="M6" s="2" t="s">
        <v>46</v>
      </c>
      <c r="N6" s="2">
        <v>1</v>
      </c>
      <c r="O6" s="2">
        <v>1</v>
      </c>
      <c r="P6" s="2">
        <v>0</v>
      </c>
      <c r="Q6" s="2" t="s">
        <v>38</v>
      </c>
      <c r="R6" s="2">
        <v>0</v>
      </c>
      <c r="S6" s="2">
        <v>0</v>
      </c>
      <c r="T6" s="2">
        <v>0</v>
      </c>
      <c r="U6" s="2"/>
      <c r="V6" s="2"/>
      <c r="W6" s="2"/>
      <c r="X6" s="2"/>
      <c r="Y6" s="3" t="s">
        <v>66</v>
      </c>
      <c r="Z6" s="4"/>
      <c r="AA6" s="2">
        <f>IF(OR(D6="Monster", E6="Basic"), 0, ROUND((MIN(IFERROR(VLOOKUP(G6, Relic_Price_Config!$A$5:$E$9, 4, FALSE), 350), MAX(IFERROR(VLOOKUP(G6, Relic_Price_Config!$A$5:$E$9, 3, FALSE), 210), ROUND((IFERROR(VLOOKUP(H6, Relic_Price_Config!$G$5:$N$100, 4, FALSE), 280) + N(L6) * IF(N(O6)&gt;1, N(O6), 1) * IFERROR(VLOOKUP(H6, Relic_Price_Config!$G$5:$N$100, 5, FALSE), 10) + ABS(N(R6)) * IFERROR(VLOOKUP(H6, Relic_Price_Config!$G$5:$N$100, 6, FALSE), 15) + IF(N(S6)&gt;1, (N(S6)-1)*10, 0)) * IFERROR(VLOOKUP(G6, Relic_Price_Config!$A$5:$E$9, 2, FALSE), 1), 0))) * 0.1) / 5, 0) * 5)</f>
        <v>0</v>
      </c>
      <c r="AB6" s="2">
        <f t="shared" si="0"/>
        <v>0</v>
      </c>
    </row>
    <row r="7" spans="1:28" ht="17.25" customHeight="1">
      <c r="A7" s="5" t="s">
        <v>67</v>
      </c>
      <c r="B7" s="5" t="s">
        <v>68</v>
      </c>
      <c r="C7" s="9" t="s">
        <v>69</v>
      </c>
      <c r="D7" s="5" t="s">
        <v>59</v>
      </c>
      <c r="E7" s="5" t="s">
        <v>32</v>
      </c>
      <c r="F7" s="5" t="s">
        <v>51</v>
      </c>
      <c r="G7" s="5" t="s">
        <v>34</v>
      </c>
      <c r="H7" s="5" t="s">
        <v>70</v>
      </c>
      <c r="I7" s="5" t="s">
        <v>45</v>
      </c>
      <c r="J7" s="5">
        <v>1</v>
      </c>
      <c r="K7" s="5">
        <v>0</v>
      </c>
      <c r="L7" s="5">
        <v>0</v>
      </c>
      <c r="M7" s="5"/>
      <c r="N7" s="5">
        <v>0</v>
      </c>
      <c r="O7" s="5">
        <v>0</v>
      </c>
      <c r="P7" s="5">
        <v>0</v>
      </c>
      <c r="Q7" s="5" t="s">
        <v>71</v>
      </c>
      <c r="R7" s="5">
        <v>1</v>
      </c>
      <c r="S7" s="5">
        <v>1</v>
      </c>
      <c r="T7" s="5">
        <v>0</v>
      </c>
      <c r="U7" s="5"/>
      <c r="V7" s="5"/>
      <c r="W7" s="5"/>
      <c r="X7" s="5"/>
      <c r="Y7" s="6" t="s">
        <v>72</v>
      </c>
      <c r="Z7" s="7"/>
      <c r="AA7" s="5">
        <f>IF(OR(D7="Monster", E7="Basic"), 0, ROUND((MIN(IFERROR(VLOOKUP(G7, Relic_Price_Config!$A$5:$E$9, 4, FALSE), 350), MAX(IFERROR(VLOOKUP(G7, Relic_Price_Config!$A$5:$E$9, 3, FALSE), 210), ROUND((IFERROR(VLOOKUP(H7, Relic_Price_Config!$G$5:$N$100, 4, FALSE), 280) + N(L7) * IF(N(O7)&gt;1, N(O7), 1) * IFERROR(VLOOKUP(H7, Relic_Price_Config!$G$5:$N$100, 5, FALSE), 10) + ABS(N(R7)) * IFERROR(VLOOKUP(H7, Relic_Price_Config!$G$5:$N$100, 6, FALSE), 15) + IF(N(S7)&gt;1, (N(S7)-1)*10, 0)) * IFERROR(VLOOKUP(G7, Relic_Price_Config!$A$5:$E$9, 2, FALSE), 1), 0))) * 0.1) / 5, 0) * 5)</f>
        <v>0</v>
      </c>
      <c r="AB7" s="5">
        <f t="shared" si="0"/>
        <v>0</v>
      </c>
    </row>
    <row r="8" spans="1:28" s="8" customFormat="1" ht="17.25" customHeight="1">
      <c r="A8" s="2" t="s">
        <v>73</v>
      </c>
      <c r="B8" s="2" t="s">
        <v>74</v>
      </c>
      <c r="C8" s="3" t="s">
        <v>75</v>
      </c>
      <c r="D8" s="2" t="s">
        <v>76</v>
      </c>
      <c r="E8" s="2" t="s">
        <v>32</v>
      </c>
      <c r="F8" s="2" t="s">
        <v>33</v>
      </c>
      <c r="G8" s="2" t="s">
        <v>34</v>
      </c>
      <c r="H8" s="2" t="s">
        <v>77</v>
      </c>
      <c r="I8" s="2" t="s">
        <v>36</v>
      </c>
      <c r="J8" s="2">
        <v>1</v>
      </c>
      <c r="K8" s="2">
        <v>0</v>
      </c>
      <c r="L8" s="2">
        <v>5</v>
      </c>
      <c r="M8" s="2" t="s">
        <v>37</v>
      </c>
      <c r="N8" s="2">
        <v>1</v>
      </c>
      <c r="O8" s="2">
        <v>1</v>
      </c>
      <c r="P8" s="2">
        <v>0</v>
      </c>
      <c r="Q8" s="2" t="s">
        <v>38</v>
      </c>
      <c r="R8" s="2">
        <v>0</v>
      </c>
      <c r="S8" s="2">
        <v>0</v>
      </c>
      <c r="T8" s="2">
        <v>0</v>
      </c>
      <c r="U8" s="2"/>
      <c r="V8" s="2"/>
      <c r="W8" s="2"/>
      <c r="X8" s="2"/>
      <c r="Y8" s="4" t="s">
        <v>78</v>
      </c>
      <c r="Z8" s="4"/>
      <c r="AA8" s="2">
        <f>IF(OR(D8="Monster", E8="Basic"), 0, ROUND((MIN(IFERROR(VLOOKUP(G8, Relic_Price_Config!$A$5:$E$9, 4, FALSE), 350), MAX(IFERROR(VLOOKUP(G8, Relic_Price_Config!$A$5:$E$9, 3, FALSE), 210), ROUND((IFERROR(VLOOKUP(H8, Relic_Price_Config!$G$5:$N$100, 4, FALSE), 280) + N(L8) * IF(N(O8)&gt;1, N(O8), 1) * IFERROR(VLOOKUP(H8, Relic_Price_Config!$G$5:$N$100, 5, FALSE), 10) + ABS(N(R8)) * IFERROR(VLOOKUP(H8, Relic_Price_Config!$G$5:$N$100, 6, FALSE), 15) + IF(N(S8)&gt;1, (N(S8)-1)*10, 0)) * IFERROR(VLOOKUP(G8, Relic_Price_Config!$A$5:$E$9, 2, FALSE), 1), 0))) * 0.1) / 5, 0) * 5)</f>
        <v>0</v>
      </c>
      <c r="AB8" s="2">
        <f t="shared" si="0"/>
        <v>0</v>
      </c>
    </row>
    <row r="9" spans="1:28" ht="17.25" customHeight="1">
      <c r="A9" s="5" t="s">
        <v>79</v>
      </c>
      <c r="B9" s="5" t="s">
        <v>80</v>
      </c>
      <c r="C9" s="6" t="s">
        <v>81</v>
      </c>
      <c r="D9" s="5" t="s">
        <v>76</v>
      </c>
      <c r="E9" s="5" t="s">
        <v>32</v>
      </c>
      <c r="F9" s="5" t="s">
        <v>43</v>
      </c>
      <c r="G9" s="5" t="s">
        <v>34</v>
      </c>
      <c r="H9" s="5" t="s">
        <v>44</v>
      </c>
      <c r="I9" s="5" t="s">
        <v>45</v>
      </c>
      <c r="J9" s="5">
        <v>1</v>
      </c>
      <c r="K9" s="5">
        <v>0</v>
      </c>
      <c r="L9" s="5">
        <v>6</v>
      </c>
      <c r="M9" s="5" t="s">
        <v>46</v>
      </c>
      <c r="N9" s="5">
        <v>1</v>
      </c>
      <c r="O9" s="5">
        <v>1</v>
      </c>
      <c r="P9" s="5">
        <v>0</v>
      </c>
      <c r="Q9" s="5" t="s">
        <v>38</v>
      </c>
      <c r="R9" s="5">
        <v>0</v>
      </c>
      <c r="S9" s="5">
        <v>0</v>
      </c>
      <c r="T9" s="5">
        <v>0</v>
      </c>
      <c r="U9" s="5"/>
      <c r="V9" s="5"/>
      <c r="W9" s="5"/>
      <c r="X9" s="5"/>
      <c r="Y9" s="6" t="s">
        <v>82</v>
      </c>
      <c r="Z9" s="7"/>
      <c r="AA9" s="5">
        <f>IF(OR(D9="Monster", E9="Basic"), 0, ROUND((MIN(IFERROR(VLOOKUP(G9, Relic_Price_Config!$A$5:$E$9, 4, FALSE), 350), MAX(IFERROR(VLOOKUP(G9, Relic_Price_Config!$A$5:$E$9, 3, FALSE), 210), ROUND((IFERROR(VLOOKUP(H9, Relic_Price_Config!$G$5:$N$100, 4, FALSE), 280) + N(L9) * IF(N(O9)&gt;1, N(O9), 1) * IFERROR(VLOOKUP(H9, Relic_Price_Config!$G$5:$N$100, 5, FALSE), 10) + ABS(N(R9)) * IFERROR(VLOOKUP(H9, Relic_Price_Config!$G$5:$N$100, 6, FALSE), 15) + IF(N(S9)&gt;1, (N(S9)-1)*10, 0)) * IFERROR(VLOOKUP(G9, Relic_Price_Config!$A$5:$E$9, 2, FALSE), 1), 0))) * 0.1) / 5, 0) * 5)</f>
        <v>0</v>
      </c>
      <c r="AB9" s="5">
        <f t="shared" si="0"/>
        <v>0</v>
      </c>
    </row>
    <row r="10" spans="1:28" s="8" customFormat="1" ht="17.25" customHeight="1">
      <c r="A10" s="2" t="s">
        <v>83</v>
      </c>
      <c r="B10" s="2" t="s">
        <v>84</v>
      </c>
      <c r="C10" s="3" t="s">
        <v>85</v>
      </c>
      <c r="D10" s="2" t="s">
        <v>76</v>
      </c>
      <c r="E10" s="2" t="s">
        <v>32</v>
      </c>
      <c r="F10" s="2" t="s">
        <v>51</v>
      </c>
      <c r="G10" s="2" t="s">
        <v>34</v>
      </c>
      <c r="H10" s="2" t="s">
        <v>86</v>
      </c>
      <c r="I10" s="2" t="s">
        <v>87</v>
      </c>
      <c r="J10" s="2">
        <v>1</v>
      </c>
      <c r="K10" s="2">
        <v>0</v>
      </c>
      <c r="L10" s="2">
        <v>3</v>
      </c>
      <c r="M10" s="2" t="s">
        <v>46</v>
      </c>
      <c r="N10" s="2">
        <v>1</v>
      </c>
      <c r="O10" s="2">
        <v>1</v>
      </c>
      <c r="P10" s="2">
        <v>0</v>
      </c>
      <c r="Q10" s="2" t="s">
        <v>38</v>
      </c>
      <c r="R10" s="2">
        <v>0</v>
      </c>
      <c r="S10" s="2">
        <v>0</v>
      </c>
      <c r="T10" s="2">
        <v>0</v>
      </c>
      <c r="U10" s="2"/>
      <c r="V10" s="2"/>
      <c r="W10" s="2"/>
      <c r="X10" s="2"/>
      <c r="Y10" s="3" t="s">
        <v>88</v>
      </c>
      <c r="Z10" s="4"/>
      <c r="AA10" s="2">
        <f>IF(OR(D10="Monster", E10="Basic"), 0, ROUND((MIN(IFERROR(VLOOKUP(G10, Relic_Price_Config!$A$5:$E$9, 4, FALSE), 350), MAX(IFERROR(VLOOKUP(G10, Relic_Price_Config!$A$5:$E$9, 3, FALSE), 210), ROUND((IFERROR(VLOOKUP(H10, Relic_Price_Config!$G$5:$N$100, 4, FALSE), 280) + N(L10) * IF(N(O10)&gt;1, N(O10), 1) * IFERROR(VLOOKUP(H10, Relic_Price_Config!$G$5:$N$100, 5, FALSE), 10) + ABS(N(R10)) * IFERROR(VLOOKUP(H10, Relic_Price_Config!$G$5:$N$100, 6, FALSE), 15) + IF(N(S10)&gt;1, (N(S10)-1)*10, 0)) * IFERROR(VLOOKUP(G10, Relic_Price_Config!$A$5:$E$9, 2, FALSE), 1), 0))) * 0.1) / 5, 0) * 5)</f>
        <v>0</v>
      </c>
      <c r="AB10" s="2">
        <f t="shared" si="0"/>
        <v>0</v>
      </c>
    </row>
    <row r="11" spans="1:28" ht="17.25" customHeight="1">
      <c r="A11" s="5" t="s">
        <v>89</v>
      </c>
      <c r="B11" s="5" t="s">
        <v>90</v>
      </c>
      <c r="C11" s="6" t="s">
        <v>91</v>
      </c>
      <c r="D11" s="5" t="s">
        <v>92</v>
      </c>
      <c r="E11" s="5" t="s">
        <v>32</v>
      </c>
      <c r="F11" s="5" t="s">
        <v>33</v>
      </c>
      <c r="G11" s="5" t="s">
        <v>34</v>
      </c>
      <c r="H11" s="5" t="s">
        <v>93</v>
      </c>
      <c r="I11" s="5" t="s">
        <v>36</v>
      </c>
      <c r="J11" s="5">
        <v>1</v>
      </c>
      <c r="K11" s="5">
        <v>0</v>
      </c>
      <c r="L11" s="5">
        <v>5</v>
      </c>
      <c r="M11" s="5" t="s">
        <v>37</v>
      </c>
      <c r="N11" s="5">
        <v>1</v>
      </c>
      <c r="O11" s="5">
        <v>1</v>
      </c>
      <c r="P11" s="5">
        <v>0</v>
      </c>
      <c r="Q11" s="5" t="s">
        <v>94</v>
      </c>
      <c r="R11" s="5">
        <v>1</v>
      </c>
      <c r="S11" s="5">
        <v>1</v>
      </c>
      <c r="T11" s="5">
        <v>0</v>
      </c>
      <c r="U11" s="5"/>
      <c r="V11" s="5"/>
      <c r="W11" s="5"/>
      <c r="X11" s="5"/>
      <c r="Y11" s="7" t="s">
        <v>95</v>
      </c>
      <c r="Z11" s="7" t="s">
        <v>96</v>
      </c>
      <c r="AA11" s="5">
        <f>IF(OR(D11="Monster", E11="Basic"), 0, ROUND((MIN(IFERROR(VLOOKUP(G11, Relic_Price_Config!$A$5:$E$9, 4, FALSE), 350), MAX(IFERROR(VLOOKUP(G11, Relic_Price_Config!$A$5:$E$9, 3, FALSE), 210), ROUND((IFERROR(VLOOKUP(H11, Relic_Price_Config!$G$5:$N$100, 4, FALSE), 280) + N(L11) * IF(N(O11)&gt;1, N(O11), 1) * IFERROR(VLOOKUP(H11, Relic_Price_Config!$G$5:$N$100, 5, FALSE), 10) + ABS(N(R11)) * IFERROR(VLOOKUP(H11, Relic_Price_Config!$G$5:$N$100, 6, FALSE), 15) + IF(N(S11)&gt;1, (N(S11)-1)*10, 0)) * IFERROR(VLOOKUP(G11, Relic_Price_Config!$A$5:$E$9, 2, FALSE), 1), 0))) * 0.1) / 5, 0) * 5)</f>
        <v>0</v>
      </c>
      <c r="AB11" s="5">
        <f t="shared" si="0"/>
        <v>0</v>
      </c>
    </row>
    <row r="12" spans="1:28" s="8" customFormat="1" ht="17.25" customHeight="1">
      <c r="A12" s="2" t="s">
        <v>97</v>
      </c>
      <c r="B12" s="2" t="s">
        <v>98</v>
      </c>
      <c r="C12" s="3" t="s">
        <v>99</v>
      </c>
      <c r="D12" s="2" t="s">
        <v>92</v>
      </c>
      <c r="E12" s="2" t="s">
        <v>32</v>
      </c>
      <c r="F12" s="2" t="s">
        <v>43</v>
      </c>
      <c r="G12" s="2" t="s">
        <v>34</v>
      </c>
      <c r="H12" s="2" t="s">
        <v>100</v>
      </c>
      <c r="I12" s="2" t="s">
        <v>45</v>
      </c>
      <c r="J12" s="2">
        <v>1</v>
      </c>
      <c r="K12" s="2">
        <v>0</v>
      </c>
      <c r="L12" s="2">
        <v>0</v>
      </c>
      <c r="M12" s="2" t="s">
        <v>46</v>
      </c>
      <c r="N12" s="2">
        <v>1</v>
      </c>
      <c r="O12" s="2">
        <v>3</v>
      </c>
      <c r="P12" s="2">
        <v>0</v>
      </c>
      <c r="Q12" s="2" t="s">
        <v>101</v>
      </c>
      <c r="R12" s="2">
        <v>1</v>
      </c>
      <c r="S12" s="2">
        <v>3</v>
      </c>
      <c r="T12" s="2">
        <v>0</v>
      </c>
      <c r="U12" s="2"/>
      <c r="V12" s="2"/>
      <c r="W12" s="2"/>
      <c r="X12" s="2"/>
      <c r="Y12" s="89" t="s">
        <v>102</v>
      </c>
      <c r="Z12" s="4" t="s">
        <v>103</v>
      </c>
      <c r="AA12" s="2">
        <f>IF(OR(D12="Monster", E12="Basic"), 0, ROUND((MIN(IFERROR(VLOOKUP(G12, Relic_Price_Config!$A$5:$E$9, 4, FALSE), 350), MAX(IFERROR(VLOOKUP(G12, Relic_Price_Config!$A$5:$E$9, 3, FALSE), 210), ROUND((IFERROR(VLOOKUP(H12, Relic_Price_Config!$G$5:$N$100, 4, FALSE), 280) + N(L12) * IF(N(O12)&gt;1, N(O12), 1) * IFERROR(VLOOKUP(H12, Relic_Price_Config!$G$5:$N$100, 5, FALSE), 10) + ABS(N(R12)) * IFERROR(VLOOKUP(H12, Relic_Price_Config!$G$5:$N$100, 6, FALSE), 15) + IF(N(S12)&gt;1, (N(S12)-1)*10, 0)) * IFERROR(VLOOKUP(G12, Relic_Price_Config!$A$5:$E$9, 2, FALSE), 1), 0))) * 0.1) / 5, 0) * 5)</f>
        <v>0</v>
      </c>
      <c r="AB12" s="2">
        <f t="shared" si="0"/>
        <v>0</v>
      </c>
    </row>
    <row r="13" spans="1:28" ht="24" customHeight="1">
      <c r="A13" s="5" t="s">
        <v>104</v>
      </c>
      <c r="B13" s="5" t="s">
        <v>105</v>
      </c>
      <c r="C13" s="6" t="s">
        <v>106</v>
      </c>
      <c r="D13" s="5" t="s">
        <v>92</v>
      </c>
      <c r="E13" s="5" t="s">
        <v>32</v>
      </c>
      <c r="F13" s="5" t="s">
        <v>51</v>
      </c>
      <c r="G13" s="5" t="s">
        <v>34</v>
      </c>
      <c r="H13" s="5" t="s">
        <v>107</v>
      </c>
      <c r="I13" s="5" t="s">
        <v>108</v>
      </c>
      <c r="J13" s="5">
        <v>1</v>
      </c>
      <c r="K13" s="5">
        <v>0</v>
      </c>
      <c r="L13" s="5">
        <v>2</v>
      </c>
      <c r="M13" s="5" t="s">
        <v>46</v>
      </c>
      <c r="N13" s="5">
        <v>1</v>
      </c>
      <c r="O13" s="5">
        <v>1</v>
      </c>
      <c r="P13" s="5">
        <v>0</v>
      </c>
      <c r="Q13" s="5" t="s">
        <v>109</v>
      </c>
      <c r="R13" s="5">
        <v>2</v>
      </c>
      <c r="S13" s="5">
        <v>2</v>
      </c>
      <c r="T13" s="5">
        <v>0</v>
      </c>
      <c r="U13" s="5"/>
      <c r="V13" s="5"/>
      <c r="W13" s="5"/>
      <c r="X13" s="5"/>
      <c r="Y13" s="7" t="s">
        <v>110</v>
      </c>
      <c r="Z13" s="7" t="s">
        <v>111</v>
      </c>
      <c r="AA13" s="5">
        <f>IF(OR(D13="Monster", E13="Basic"), 0, ROUND((MIN(IFERROR(VLOOKUP(G13, Relic_Price_Config!$A$5:$E$9, 4, FALSE), 350), MAX(IFERROR(VLOOKUP(G13, Relic_Price_Config!$A$5:$E$9, 3, FALSE), 210), ROUND((IFERROR(VLOOKUP(H13, Relic_Price_Config!$G$5:$N$100, 4, FALSE), 280) + N(L13) * IF(N(O13)&gt;1, N(O13), 1) * IFERROR(VLOOKUP(H13, Relic_Price_Config!$G$5:$N$100, 5, FALSE), 10) + ABS(N(R13)) * IFERROR(VLOOKUP(H13, Relic_Price_Config!$G$5:$N$100, 6, FALSE), 15) + IF(N(S13)&gt;1, (N(S13)-1)*10, 0)) * IFERROR(VLOOKUP(G13, Relic_Price_Config!$A$5:$E$9, 2, FALSE), 1), 0))) * 0.1) / 5, 0) * 5)</f>
        <v>0</v>
      </c>
      <c r="AB13" s="5">
        <f t="shared" si="0"/>
        <v>0</v>
      </c>
    </row>
    <row r="14" spans="1:28" s="8" customFormat="1" ht="24">
      <c r="A14" s="2" t="s">
        <v>112</v>
      </c>
      <c r="B14" s="2" t="s">
        <v>113</v>
      </c>
      <c r="C14" s="3" t="s">
        <v>114</v>
      </c>
      <c r="D14" s="2" t="s">
        <v>31</v>
      </c>
      <c r="E14" s="2" t="s">
        <v>115</v>
      </c>
      <c r="F14" s="2" t="s">
        <v>51</v>
      </c>
      <c r="G14" s="2" t="s">
        <v>34</v>
      </c>
      <c r="H14" s="2" t="s">
        <v>70</v>
      </c>
      <c r="I14" s="2" t="s">
        <v>45</v>
      </c>
      <c r="J14" s="2">
        <v>0</v>
      </c>
      <c r="K14" s="2">
        <v>1</v>
      </c>
      <c r="L14" s="2">
        <v>0</v>
      </c>
      <c r="M14" s="2"/>
      <c r="N14" s="2">
        <v>0</v>
      </c>
      <c r="O14" s="2">
        <v>1</v>
      </c>
      <c r="P14" s="2">
        <v>0</v>
      </c>
      <c r="Q14" s="2" t="s">
        <v>71</v>
      </c>
      <c r="R14" s="2">
        <v>1</v>
      </c>
      <c r="S14" s="2">
        <v>2</v>
      </c>
      <c r="T14" s="2">
        <v>0</v>
      </c>
      <c r="U14" s="2"/>
      <c r="V14" s="2"/>
      <c r="W14" s="2"/>
      <c r="X14" s="2"/>
      <c r="Y14" s="3" t="s">
        <v>116</v>
      </c>
      <c r="Z14" s="3" t="s">
        <v>117</v>
      </c>
      <c r="AA14" s="2">
        <f>IF(OR(D14="Monster", E14="Basic"), 0, ROUND((MIN(IFERROR(VLOOKUP(G14, Relic_Price_Config!$A$5:$E$9, 4, FALSE), 350), MAX(IFERROR(VLOOKUP(G14, Relic_Price_Config!$A$5:$E$9, 3, FALSE), 210), ROUND((IFERROR(VLOOKUP(H14, Relic_Price_Config!$G$5:$N$100, 4, FALSE), 280) + N(L14) * IF(N(O14)&gt;1, N(O14), 1) * IFERROR(VLOOKUP(H14, Relic_Price_Config!$G$5:$N$100, 5, FALSE), 10) + ABS(N(R14)) * IFERROR(VLOOKUP(H14, Relic_Price_Config!$G$5:$N$100, 6, FALSE), 15) + IF(N(S14)&gt;1, (N(S14)-1)*10, 0)) * IFERROR(VLOOKUP(G14, Relic_Price_Config!$A$5:$E$9, 2, FALSE), 1), 0))) * 0.1) / 5, 0) * 5)</f>
        <v>30</v>
      </c>
      <c r="AB14" s="2">
        <f t="shared" si="0"/>
        <v>20</v>
      </c>
    </row>
    <row r="15" spans="1:28">
      <c r="A15" s="5" t="s">
        <v>118</v>
      </c>
      <c r="B15" s="5" t="s">
        <v>119</v>
      </c>
      <c r="C15" s="9" t="s">
        <v>120</v>
      </c>
      <c r="D15" s="5" t="s">
        <v>31</v>
      </c>
      <c r="E15" s="2" t="s">
        <v>115</v>
      </c>
      <c r="F15" s="5" t="s">
        <v>51</v>
      </c>
      <c r="G15" s="5" t="s">
        <v>34</v>
      </c>
      <c r="H15" s="5" t="s">
        <v>100</v>
      </c>
      <c r="I15" s="5" t="s">
        <v>45</v>
      </c>
      <c r="J15" s="5">
        <v>0</v>
      </c>
      <c r="K15" s="5">
        <v>1</v>
      </c>
      <c r="L15" s="5">
        <v>0</v>
      </c>
      <c r="M15" s="5"/>
      <c r="N15" s="5">
        <v>0</v>
      </c>
      <c r="O15" s="5">
        <v>1</v>
      </c>
      <c r="P15" s="5">
        <v>0</v>
      </c>
      <c r="Q15" s="5" t="s">
        <v>101</v>
      </c>
      <c r="R15" s="5">
        <v>1</v>
      </c>
      <c r="S15" s="5">
        <v>1</v>
      </c>
      <c r="T15" s="5">
        <v>0</v>
      </c>
      <c r="U15" s="5"/>
      <c r="V15" s="5"/>
      <c r="W15" s="5"/>
      <c r="X15" s="5"/>
      <c r="Y15" s="6" t="s">
        <v>121</v>
      </c>
      <c r="Z15" s="6" t="s">
        <v>117</v>
      </c>
      <c r="AA15" s="5">
        <f>IF(OR(D15="Monster", E15="Basic"), 0, ROUND((MIN(IFERROR(VLOOKUP(G15, Relic_Price_Config!$A$5:$E$9, 4, FALSE), 350), MAX(IFERROR(VLOOKUP(G15, Relic_Price_Config!$A$5:$E$9, 3, FALSE), 210), ROUND((IFERROR(VLOOKUP(H15, Relic_Price_Config!$G$5:$N$100, 4, FALSE), 280) + N(L15) * IF(N(O15)&gt;1, N(O15), 1) * IFERROR(VLOOKUP(H15, Relic_Price_Config!$G$5:$N$100, 5, FALSE), 10) + ABS(N(R15)) * IFERROR(VLOOKUP(H15, Relic_Price_Config!$G$5:$N$100, 6, FALSE), 15) + IF(N(S15)&gt;1, (N(S15)-1)*10, 0)) * IFERROR(VLOOKUP(G15, Relic_Price_Config!$A$5:$E$9, 2, FALSE), 1), 0))) * 0.1) / 5, 0) * 5)</f>
        <v>30</v>
      </c>
      <c r="AB15" s="5">
        <f t="shared" si="0"/>
        <v>20</v>
      </c>
    </row>
    <row r="16" spans="1:28" s="8" customFormat="1">
      <c r="A16" s="2" t="s">
        <v>122</v>
      </c>
      <c r="B16" s="2" t="s">
        <v>123</v>
      </c>
      <c r="C16" s="3" t="s">
        <v>124</v>
      </c>
      <c r="D16" s="2" t="s">
        <v>31</v>
      </c>
      <c r="E16" s="2" t="s">
        <v>115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0</v>
      </c>
      <c r="K16" s="2">
        <v>1</v>
      </c>
      <c r="L16" s="2">
        <v>3</v>
      </c>
      <c r="M16" s="2" t="s">
        <v>37</v>
      </c>
      <c r="N16" s="2">
        <v>1</v>
      </c>
      <c r="O16" s="2">
        <v>3</v>
      </c>
      <c r="P16" s="2">
        <v>0</v>
      </c>
      <c r="Q16" s="2"/>
      <c r="R16" s="2">
        <v>0</v>
      </c>
      <c r="S16" s="2">
        <v>0</v>
      </c>
      <c r="T16" s="2">
        <v>0</v>
      </c>
      <c r="U16" s="2"/>
      <c r="V16" s="2"/>
      <c r="W16" s="2"/>
      <c r="X16" s="2"/>
      <c r="Y16" s="3" t="s">
        <v>125</v>
      </c>
      <c r="Z16" s="3" t="s">
        <v>117</v>
      </c>
      <c r="AA16" s="2">
        <f>IF(OR(D16="Monster", E16="Basic"), 0, ROUND((MIN(IFERROR(VLOOKUP(G16, Relic_Price_Config!$A$5:$E$9, 4, FALSE), 350), MAX(IFERROR(VLOOKUP(G16, Relic_Price_Config!$A$5:$E$9, 3, FALSE), 210), ROUND((IFERROR(VLOOKUP(H16, Relic_Price_Config!$G$5:$N$100, 4, FALSE), 280) + N(L16) * IF(N(O16)&gt;1, N(O16), 1) * IFERROR(VLOOKUP(H16, Relic_Price_Config!$G$5:$N$100, 5, FALSE), 10) + ABS(N(R16)) * IFERROR(VLOOKUP(H16, Relic_Price_Config!$G$5:$N$100, 6, FALSE), 15) + IF(N(S16)&gt;1, (N(S16)-1)*10, 0)) * IFERROR(VLOOKUP(G16, Relic_Price_Config!$A$5:$E$9, 2, FALSE), 1), 0))) * 0.1) / 5, 0) * 5)</f>
        <v>30</v>
      </c>
      <c r="AB16" s="2">
        <f t="shared" si="0"/>
        <v>20</v>
      </c>
    </row>
    <row r="17" spans="1:28" ht="24" customHeight="1">
      <c r="A17" s="5" t="s">
        <v>126</v>
      </c>
      <c r="B17" s="5" t="s">
        <v>127</v>
      </c>
      <c r="C17" s="9" t="s">
        <v>128</v>
      </c>
      <c r="D17" s="5" t="s">
        <v>31</v>
      </c>
      <c r="E17" s="2" t="s">
        <v>115</v>
      </c>
      <c r="F17" s="5" t="s">
        <v>33</v>
      </c>
      <c r="G17" s="5" t="s">
        <v>34</v>
      </c>
      <c r="H17" s="5" t="s">
        <v>129</v>
      </c>
      <c r="I17" s="5" t="s">
        <v>36</v>
      </c>
      <c r="J17" s="5">
        <v>0</v>
      </c>
      <c r="K17" s="5">
        <v>1</v>
      </c>
      <c r="L17" s="5">
        <v>6</v>
      </c>
      <c r="M17" s="5" t="s">
        <v>37</v>
      </c>
      <c r="N17" s="5">
        <v>1</v>
      </c>
      <c r="O17" s="5">
        <v>1</v>
      </c>
      <c r="P17" s="5">
        <v>0</v>
      </c>
      <c r="Q17" s="5" t="s">
        <v>130</v>
      </c>
      <c r="R17" s="5">
        <v>1</v>
      </c>
      <c r="S17" s="5">
        <v>1</v>
      </c>
      <c r="T17" s="5">
        <v>0</v>
      </c>
      <c r="U17" s="5"/>
      <c r="V17" s="5"/>
      <c r="W17" s="5"/>
      <c r="X17" s="5"/>
      <c r="Y17" s="6" t="s">
        <v>131</v>
      </c>
      <c r="Z17" s="6" t="s">
        <v>132</v>
      </c>
      <c r="AA17" s="5">
        <f>IF(OR(D17="Monster", E17="Basic"), 0, ROUND((MIN(IFERROR(VLOOKUP(G17, Relic_Price_Config!$A$5:$E$9, 4, FALSE), 350), MAX(IFERROR(VLOOKUP(G17, Relic_Price_Config!$A$5:$E$9, 3, FALSE), 210), ROUND((IFERROR(VLOOKUP(H17, Relic_Price_Config!$G$5:$N$100, 4, FALSE), 280) + N(L17) * IF(N(O17)&gt;1, N(O17), 1) * IFERROR(VLOOKUP(H17, Relic_Price_Config!$G$5:$N$100, 5, FALSE), 10) + ABS(N(R17)) * IFERROR(VLOOKUP(H17, Relic_Price_Config!$G$5:$N$100, 6, FALSE), 15) + IF(N(S17)&gt;1, (N(S17)-1)*10, 0)) * IFERROR(VLOOKUP(G17, Relic_Price_Config!$A$5:$E$9, 2, FALSE), 1), 0))) * 0.1) / 5, 0) * 5)</f>
        <v>30</v>
      </c>
      <c r="AB17" s="5">
        <f t="shared" si="0"/>
        <v>20</v>
      </c>
    </row>
    <row r="18" spans="1:28" s="8" customFormat="1" ht="17.25" customHeight="1">
      <c r="A18" s="2" t="s">
        <v>133</v>
      </c>
      <c r="B18" s="2" t="s">
        <v>134</v>
      </c>
      <c r="C18" s="3" t="s">
        <v>135</v>
      </c>
      <c r="D18" s="2" t="s">
        <v>31</v>
      </c>
      <c r="E18" s="2" t="s">
        <v>115</v>
      </c>
      <c r="F18" s="2" t="s">
        <v>43</v>
      </c>
      <c r="G18" s="2" t="s">
        <v>34</v>
      </c>
      <c r="H18" s="2" t="s">
        <v>44</v>
      </c>
      <c r="I18" s="2" t="s">
        <v>45</v>
      </c>
      <c r="J18" s="2">
        <v>0</v>
      </c>
      <c r="K18" s="2">
        <v>1</v>
      </c>
      <c r="L18" s="2">
        <v>8</v>
      </c>
      <c r="M18" s="2" t="s">
        <v>46</v>
      </c>
      <c r="N18" s="2">
        <v>1</v>
      </c>
      <c r="O18" s="2">
        <v>1</v>
      </c>
      <c r="P18" s="2">
        <v>0</v>
      </c>
      <c r="Q18" s="2"/>
      <c r="R18" s="2">
        <v>0</v>
      </c>
      <c r="S18" s="2">
        <v>0</v>
      </c>
      <c r="T18" s="2">
        <v>0</v>
      </c>
      <c r="U18" s="2"/>
      <c r="V18" s="2"/>
      <c r="W18" s="2"/>
      <c r="X18" s="2"/>
      <c r="Y18" s="3" t="s">
        <v>136</v>
      </c>
      <c r="Z18" s="3" t="s">
        <v>132</v>
      </c>
      <c r="AA18" s="2">
        <f>IF(OR(D18="Monster", E18="Basic"), 0, ROUND((MIN(IFERROR(VLOOKUP(G18, Relic_Price_Config!$A$5:$E$9, 4, FALSE), 350), MAX(IFERROR(VLOOKUP(G18, Relic_Price_Config!$A$5:$E$9, 3, FALSE), 210), ROUND((IFERROR(VLOOKUP(H18, Relic_Price_Config!$G$5:$N$100, 4, FALSE), 280) + N(L18) * IF(N(O18)&gt;1, N(O18), 1) * IFERROR(VLOOKUP(H18, Relic_Price_Config!$G$5:$N$100, 5, FALSE), 10) + ABS(N(R18)) * IFERROR(VLOOKUP(H18, Relic_Price_Config!$G$5:$N$100, 6, FALSE), 15) + IF(N(S18)&gt;1, (N(S18)-1)*10, 0)) * IFERROR(VLOOKUP(G18, Relic_Price_Config!$A$5:$E$9, 2, FALSE), 1), 0))) * 0.1) / 5, 0) * 5)</f>
        <v>35</v>
      </c>
      <c r="AB18" s="2">
        <f t="shared" si="0"/>
        <v>25</v>
      </c>
    </row>
    <row r="19" spans="1:28" ht="17.25" customHeight="1">
      <c r="A19" s="5" t="s">
        <v>137</v>
      </c>
      <c r="B19" s="5" t="s">
        <v>138</v>
      </c>
      <c r="C19" s="9" t="s">
        <v>139</v>
      </c>
      <c r="D19" s="5" t="s">
        <v>31</v>
      </c>
      <c r="E19" s="2" t="s">
        <v>115</v>
      </c>
      <c r="F19" s="5" t="s">
        <v>33</v>
      </c>
      <c r="G19" s="5" t="s">
        <v>34</v>
      </c>
      <c r="H19" s="5" t="s">
        <v>140</v>
      </c>
      <c r="I19" s="5" t="s">
        <v>36</v>
      </c>
      <c r="J19" s="5">
        <v>0</v>
      </c>
      <c r="K19" s="5">
        <v>1</v>
      </c>
      <c r="L19" s="5">
        <v>6</v>
      </c>
      <c r="M19" s="5" t="s">
        <v>37</v>
      </c>
      <c r="N19" s="5">
        <v>1</v>
      </c>
      <c r="O19" s="5">
        <v>1</v>
      </c>
      <c r="P19" s="5">
        <v>3</v>
      </c>
      <c r="Q19" s="5"/>
      <c r="R19" s="5">
        <v>0</v>
      </c>
      <c r="S19" s="5">
        <v>0</v>
      </c>
      <c r="T19" s="5">
        <v>0</v>
      </c>
      <c r="U19" s="5"/>
      <c r="V19" s="5"/>
      <c r="W19" s="5"/>
      <c r="X19" s="5"/>
      <c r="Y19" s="6" t="s">
        <v>141</v>
      </c>
      <c r="Z19" s="6" t="s">
        <v>142</v>
      </c>
      <c r="AA19" s="5">
        <f>IF(OR(D19="Monster", E19="Basic"), 0, ROUND((MIN(IFERROR(VLOOKUP(G19, Relic_Price_Config!$A$5:$E$9, 4, FALSE), 350), MAX(IFERROR(VLOOKUP(G19, Relic_Price_Config!$A$5:$E$9, 3, FALSE), 210), ROUND((IFERROR(VLOOKUP(H19, Relic_Price_Config!$G$5:$N$100, 4, FALSE), 280) + N(L19) * IF(N(O19)&gt;1, N(O19), 1) * IFERROR(VLOOKUP(H19, Relic_Price_Config!$G$5:$N$100, 5, FALSE), 10) + ABS(N(R19)) * IFERROR(VLOOKUP(H19, Relic_Price_Config!$G$5:$N$100, 6, FALSE), 15) + IF(N(S19)&gt;1, (N(S19)-1)*10, 0)) * IFERROR(VLOOKUP(G19, Relic_Price_Config!$A$5:$E$9, 2, FALSE), 1), 0))) * 0.1) / 5, 0) * 5)</f>
        <v>30</v>
      </c>
      <c r="AB19" s="5">
        <f t="shared" si="0"/>
        <v>20</v>
      </c>
    </row>
    <row r="20" spans="1:28" s="8" customFormat="1">
      <c r="A20" s="2" t="s">
        <v>143</v>
      </c>
      <c r="B20" s="2" t="s">
        <v>144</v>
      </c>
      <c r="C20" s="3" t="s">
        <v>145</v>
      </c>
      <c r="D20" s="2" t="s">
        <v>31</v>
      </c>
      <c r="E20" s="2" t="s">
        <v>115</v>
      </c>
      <c r="F20" s="2" t="s">
        <v>51</v>
      </c>
      <c r="G20" s="2" t="s">
        <v>34</v>
      </c>
      <c r="H20" s="2" t="s">
        <v>146</v>
      </c>
      <c r="I20" s="2" t="s">
        <v>45</v>
      </c>
      <c r="J20" s="2">
        <v>0</v>
      </c>
      <c r="K20" s="2">
        <v>1</v>
      </c>
      <c r="L20" s="2">
        <v>1</v>
      </c>
      <c r="M20" s="2"/>
      <c r="N20" s="2">
        <v>0</v>
      </c>
      <c r="O20" s="2">
        <v>1</v>
      </c>
      <c r="P20" s="2">
        <v>0</v>
      </c>
      <c r="Q20" s="2"/>
      <c r="R20" s="2">
        <v>0</v>
      </c>
      <c r="S20" s="2">
        <v>0</v>
      </c>
      <c r="T20" s="2">
        <v>0</v>
      </c>
      <c r="U20" s="2"/>
      <c r="V20" s="2"/>
      <c r="W20" s="2"/>
      <c r="X20" s="2"/>
      <c r="Y20" s="3" t="s">
        <v>147</v>
      </c>
      <c r="Z20" s="3" t="s">
        <v>148</v>
      </c>
      <c r="AA20" s="2">
        <f>IF(OR(D20="Monster", E20="Basic"), 0, ROUND((MIN(IFERROR(VLOOKUP(G20, Relic_Price_Config!$A$5:$E$9, 4, FALSE), 350), MAX(IFERROR(VLOOKUP(G20, Relic_Price_Config!$A$5:$E$9, 3, FALSE), 210), ROUND((IFERROR(VLOOKUP(H20, Relic_Price_Config!$G$5:$N$100, 4, FALSE), 280) + N(L20) * IF(N(O20)&gt;1, N(O20), 1) * IFERROR(VLOOKUP(H20, Relic_Price_Config!$G$5:$N$100, 5, FALSE), 10) + ABS(N(R20)) * IFERROR(VLOOKUP(H20, Relic_Price_Config!$G$5:$N$100, 6, FALSE), 15) + IF(N(S20)&gt;1, (N(S20)-1)*10, 0)) * IFERROR(VLOOKUP(G20, Relic_Price_Config!$A$5:$E$9, 2, FALSE), 1), 0))) * 0.1) / 5, 0) * 5)</f>
        <v>35</v>
      </c>
      <c r="AB20" s="2">
        <f t="shared" si="0"/>
        <v>25</v>
      </c>
    </row>
    <row r="21" spans="1:28" ht="24" customHeight="1">
      <c r="A21" s="5" t="s">
        <v>149</v>
      </c>
      <c r="B21" s="5" t="s">
        <v>150</v>
      </c>
      <c r="C21" s="9" t="s">
        <v>151</v>
      </c>
      <c r="D21" s="5" t="s">
        <v>31</v>
      </c>
      <c r="E21" s="2" t="s">
        <v>115</v>
      </c>
      <c r="F21" s="5" t="s">
        <v>33</v>
      </c>
      <c r="G21" s="5" t="s">
        <v>34</v>
      </c>
      <c r="H21" s="5" t="s">
        <v>152</v>
      </c>
      <c r="I21" s="5" t="s">
        <v>36</v>
      </c>
      <c r="J21" s="5">
        <v>0</v>
      </c>
      <c r="K21" s="5">
        <v>1</v>
      </c>
      <c r="L21" s="5">
        <v>5</v>
      </c>
      <c r="M21" s="5" t="s">
        <v>37</v>
      </c>
      <c r="N21" s="5">
        <v>1</v>
      </c>
      <c r="O21" s="5">
        <v>1</v>
      </c>
      <c r="P21" s="5">
        <v>3</v>
      </c>
      <c r="Q21" s="5"/>
      <c r="R21" s="5">
        <v>0</v>
      </c>
      <c r="S21" s="5">
        <v>0</v>
      </c>
      <c r="T21" s="5">
        <v>0</v>
      </c>
      <c r="U21" s="5"/>
      <c r="V21" s="5"/>
      <c r="W21" s="5"/>
      <c r="X21" s="5"/>
      <c r="Y21" s="6" t="s">
        <v>153</v>
      </c>
      <c r="Z21" s="6" t="s">
        <v>154</v>
      </c>
      <c r="AA21" s="5">
        <f>IF(OR(D21="Monster", E21="Basic"), 0, ROUND((MIN(IFERROR(VLOOKUP(G21, Relic_Price_Config!$A$5:$E$9, 4, FALSE), 350), MAX(IFERROR(VLOOKUP(G21, Relic_Price_Config!$A$5:$E$9, 3, FALSE), 210), ROUND((IFERROR(VLOOKUP(H21, Relic_Price_Config!$G$5:$N$100, 4, FALSE), 280) + N(L21) * IF(N(O21)&gt;1, N(O21), 1) * IFERROR(VLOOKUP(H21, Relic_Price_Config!$G$5:$N$100, 5, FALSE), 10) + ABS(N(R21)) * IFERROR(VLOOKUP(H21, Relic_Price_Config!$G$5:$N$100, 6, FALSE), 15) + IF(N(S21)&gt;1, (N(S21)-1)*10, 0)) * IFERROR(VLOOKUP(G21, Relic_Price_Config!$A$5:$E$9, 2, FALSE), 1), 0))) * 0.1) / 5, 0) * 5)</f>
        <v>30</v>
      </c>
      <c r="AB21" s="5">
        <f t="shared" si="0"/>
        <v>20</v>
      </c>
    </row>
    <row r="22" spans="1:28" s="8" customFormat="1" ht="24" customHeight="1">
      <c r="A22" s="2" t="s">
        <v>155</v>
      </c>
      <c r="B22" s="2" t="s">
        <v>156</v>
      </c>
      <c r="C22" s="86" t="s">
        <v>157</v>
      </c>
      <c r="D22" s="2" t="s">
        <v>31</v>
      </c>
      <c r="E22" s="2" t="s">
        <v>115</v>
      </c>
      <c r="F22" s="2" t="s">
        <v>43</v>
      </c>
      <c r="G22" s="2" t="s">
        <v>34</v>
      </c>
      <c r="H22" s="2" t="s">
        <v>158</v>
      </c>
      <c r="I22" s="2" t="s">
        <v>45</v>
      </c>
      <c r="J22" s="2">
        <v>0</v>
      </c>
      <c r="K22" s="2">
        <v>1</v>
      </c>
      <c r="L22" s="2">
        <v>4</v>
      </c>
      <c r="M22" s="2" t="s">
        <v>46</v>
      </c>
      <c r="N22" s="2">
        <v>1</v>
      </c>
      <c r="O22" s="2">
        <v>1</v>
      </c>
      <c r="P22" s="2">
        <v>0</v>
      </c>
      <c r="Q22" s="2" t="s">
        <v>159</v>
      </c>
      <c r="R22" s="2">
        <v>1</v>
      </c>
      <c r="S22" s="2">
        <v>1</v>
      </c>
      <c r="T22" s="2">
        <v>0</v>
      </c>
      <c r="U22" s="2"/>
      <c r="V22" s="2"/>
      <c r="W22" s="2"/>
      <c r="X22" s="2"/>
      <c r="Y22" s="3" t="s">
        <v>160</v>
      </c>
      <c r="Z22" s="3" t="s">
        <v>148</v>
      </c>
      <c r="AA22" s="2">
        <f>IF(OR(D22="Monster", E22="Basic"), 0, ROUND((MIN(IFERROR(VLOOKUP(G22, Relic_Price_Config!$A$5:$E$9, 4, FALSE), 350), MAX(IFERROR(VLOOKUP(G22, Relic_Price_Config!$A$5:$E$9, 3, FALSE), 210), ROUND((IFERROR(VLOOKUP(H22, Relic_Price_Config!$G$5:$N$100, 4, FALSE), 280) + N(L22) * IF(N(O22)&gt;1, N(O22), 1) * IFERROR(VLOOKUP(H22, Relic_Price_Config!$G$5:$N$100, 5, FALSE), 10) + ABS(N(R22)) * IFERROR(VLOOKUP(H22, Relic_Price_Config!$G$5:$N$100, 6, FALSE), 15) + IF(N(S22)&gt;1, (N(S22)-1)*10, 0)) * IFERROR(VLOOKUP(G22, Relic_Price_Config!$A$5:$E$9, 2, FALSE), 1), 0))) * 0.1) / 5, 0) * 5)</f>
        <v>30</v>
      </c>
      <c r="AB22" s="2">
        <f t="shared" si="0"/>
        <v>20</v>
      </c>
    </row>
    <row r="23" spans="1:28" ht="24" customHeight="1">
      <c r="A23" s="5" t="s">
        <v>161</v>
      </c>
      <c r="B23" s="5" t="s">
        <v>162</v>
      </c>
      <c r="C23" s="9" t="s">
        <v>163</v>
      </c>
      <c r="D23" s="5" t="s">
        <v>31</v>
      </c>
      <c r="E23" s="2" t="s">
        <v>115</v>
      </c>
      <c r="F23" s="5" t="s">
        <v>43</v>
      </c>
      <c r="G23" s="5" t="s">
        <v>34</v>
      </c>
      <c r="H23" s="5" t="s">
        <v>52</v>
      </c>
      <c r="I23" s="5" t="s">
        <v>45</v>
      </c>
      <c r="J23" s="5">
        <v>0</v>
      </c>
      <c r="K23" s="5">
        <v>1</v>
      </c>
      <c r="L23" s="5">
        <v>5</v>
      </c>
      <c r="M23" s="5" t="s">
        <v>46</v>
      </c>
      <c r="N23" s="5">
        <v>1</v>
      </c>
      <c r="O23" s="5">
        <v>1</v>
      </c>
      <c r="P23" s="5">
        <v>2</v>
      </c>
      <c r="Q23" s="5" t="s">
        <v>53</v>
      </c>
      <c r="R23" s="5">
        <v>1</v>
      </c>
      <c r="S23" s="5">
        <v>1</v>
      </c>
      <c r="T23" s="5">
        <v>0</v>
      </c>
      <c r="U23" s="5"/>
      <c r="V23" s="5"/>
      <c r="W23" s="5"/>
      <c r="X23" s="5"/>
      <c r="Y23" s="6" t="s">
        <v>164</v>
      </c>
      <c r="Z23" s="6" t="s">
        <v>165</v>
      </c>
      <c r="AA23" s="5">
        <f>IF(OR(D23="Monster", E23="Basic"), 0, ROUND((MIN(IFERROR(VLOOKUP(G23, Relic_Price_Config!$A$5:$E$9, 4, FALSE), 350), MAX(IFERROR(VLOOKUP(G23, Relic_Price_Config!$A$5:$E$9, 3, FALSE), 210), ROUND((IFERROR(VLOOKUP(H23, Relic_Price_Config!$G$5:$N$100, 4, FALSE), 280) + N(L23) * IF(N(O23)&gt;1, N(O23), 1) * IFERROR(VLOOKUP(H23, Relic_Price_Config!$G$5:$N$100, 5, FALSE), 10) + ABS(N(R23)) * IFERROR(VLOOKUP(H23, Relic_Price_Config!$G$5:$N$100, 6, FALSE), 15) + IF(N(S23)&gt;1, (N(S23)-1)*10, 0)) * IFERROR(VLOOKUP(G23, Relic_Price_Config!$A$5:$E$9, 2, FALSE), 1), 0))) * 0.1) / 5, 0) * 5)</f>
        <v>30</v>
      </c>
      <c r="AB23" s="5">
        <f t="shared" si="0"/>
        <v>20</v>
      </c>
    </row>
    <row r="24" spans="1:28" s="8" customFormat="1" ht="24">
      <c r="A24" s="2" t="s">
        <v>166</v>
      </c>
      <c r="B24" s="2" t="s">
        <v>167</v>
      </c>
      <c r="C24" s="3" t="s">
        <v>168</v>
      </c>
      <c r="D24" s="2" t="s">
        <v>31</v>
      </c>
      <c r="E24" s="2" t="s">
        <v>115</v>
      </c>
      <c r="F24" s="2" t="s">
        <v>33</v>
      </c>
      <c r="G24" s="2" t="s">
        <v>34</v>
      </c>
      <c r="H24" s="2" t="s">
        <v>93</v>
      </c>
      <c r="I24" s="2" t="s">
        <v>36</v>
      </c>
      <c r="J24" s="2">
        <v>0</v>
      </c>
      <c r="K24" s="2">
        <v>1</v>
      </c>
      <c r="L24" s="2">
        <v>5</v>
      </c>
      <c r="M24" s="2" t="s">
        <v>37</v>
      </c>
      <c r="N24" s="2">
        <v>1</v>
      </c>
      <c r="O24" s="2">
        <v>1</v>
      </c>
      <c r="P24" s="2">
        <v>0</v>
      </c>
      <c r="Q24" s="2" t="s">
        <v>94</v>
      </c>
      <c r="R24" s="2">
        <v>1</v>
      </c>
      <c r="S24" s="2">
        <v>1</v>
      </c>
      <c r="T24" s="2">
        <v>0</v>
      </c>
      <c r="U24" s="2"/>
      <c r="V24" s="2"/>
      <c r="W24" s="2"/>
      <c r="X24" s="2"/>
      <c r="Y24" s="3" t="s">
        <v>169</v>
      </c>
      <c r="Z24" s="3" t="s">
        <v>170</v>
      </c>
      <c r="AA24" s="2">
        <f>IF(OR(D24="Monster", E24="Basic"), 0, ROUND((MIN(IFERROR(VLOOKUP(G24, Relic_Price_Config!$A$5:$E$9, 4, FALSE), 350), MAX(IFERROR(VLOOKUP(G24, Relic_Price_Config!$A$5:$E$9, 3, FALSE), 210), ROUND((IFERROR(VLOOKUP(H24, Relic_Price_Config!$G$5:$N$100, 4, FALSE), 280) + N(L24) * IF(N(O24)&gt;1, N(O24), 1) * IFERROR(VLOOKUP(H24, Relic_Price_Config!$G$5:$N$100, 5, FALSE), 10) + ABS(N(R24)) * IFERROR(VLOOKUP(H24, Relic_Price_Config!$G$5:$N$100, 6, FALSE), 15) + IF(N(S24)&gt;1, (N(S24)-1)*10, 0)) * IFERROR(VLOOKUP(G24, Relic_Price_Config!$A$5:$E$9, 2, FALSE), 1), 0))) * 0.1) / 5, 0) * 5)</f>
        <v>30</v>
      </c>
      <c r="AB24" s="2">
        <f t="shared" si="0"/>
        <v>20</v>
      </c>
    </row>
    <row r="25" spans="1:28">
      <c r="A25" s="5" t="s">
        <v>171</v>
      </c>
      <c r="B25" s="5" t="s">
        <v>172</v>
      </c>
      <c r="C25" s="9" t="s">
        <v>173</v>
      </c>
      <c r="D25" s="5" t="s">
        <v>31</v>
      </c>
      <c r="E25" s="2" t="s">
        <v>115</v>
      </c>
      <c r="F25" s="5" t="s">
        <v>33</v>
      </c>
      <c r="G25" s="5" t="s">
        <v>34</v>
      </c>
      <c r="H25" s="5" t="s">
        <v>174</v>
      </c>
      <c r="I25" s="5" t="s">
        <v>108</v>
      </c>
      <c r="J25" s="5">
        <v>0</v>
      </c>
      <c r="K25" s="5">
        <v>1</v>
      </c>
      <c r="L25" s="5">
        <v>3</v>
      </c>
      <c r="M25" s="5" t="s">
        <v>37</v>
      </c>
      <c r="N25" s="5">
        <v>1</v>
      </c>
      <c r="O25" s="5">
        <v>2</v>
      </c>
      <c r="P25" s="5">
        <v>0</v>
      </c>
      <c r="Q25" s="5"/>
      <c r="R25" s="5">
        <v>0</v>
      </c>
      <c r="S25" s="5">
        <v>0</v>
      </c>
      <c r="T25" s="5">
        <v>0</v>
      </c>
      <c r="U25" s="5"/>
      <c r="V25" s="5"/>
      <c r="W25" s="5"/>
      <c r="X25" s="5"/>
      <c r="Y25" s="6" t="s">
        <v>175</v>
      </c>
      <c r="Z25" s="6" t="s">
        <v>170</v>
      </c>
      <c r="AA25" s="5">
        <f>IF(OR(D25="Monster", E25="Basic"), 0, ROUND((MIN(IFERROR(VLOOKUP(G25, Relic_Price_Config!$A$5:$E$9, 4, FALSE), 350), MAX(IFERROR(VLOOKUP(G25, Relic_Price_Config!$A$5:$E$9, 3, FALSE), 210), ROUND((IFERROR(VLOOKUP(H25, Relic_Price_Config!$G$5:$N$100, 4, FALSE), 280) + N(L25) * IF(N(O25)&gt;1, N(O25), 1) * IFERROR(VLOOKUP(H25, Relic_Price_Config!$G$5:$N$100, 5, FALSE), 10) + ABS(N(R25)) * IFERROR(VLOOKUP(H25, Relic_Price_Config!$G$5:$N$100, 6, FALSE), 15) + IF(N(S25)&gt;1, (N(S25)-1)*10, 0)) * IFERROR(VLOOKUP(G25, Relic_Price_Config!$A$5:$E$9, 2, FALSE), 1), 0))) * 0.1) / 5, 0) * 5)</f>
        <v>30</v>
      </c>
      <c r="AB25" s="5">
        <f t="shared" si="0"/>
        <v>20</v>
      </c>
    </row>
    <row r="26" spans="1:28" s="8" customFormat="1" ht="24" customHeight="1">
      <c r="A26" s="2" t="s">
        <v>176</v>
      </c>
      <c r="B26" s="2" t="s">
        <v>177</v>
      </c>
      <c r="C26" s="87" t="s">
        <v>178</v>
      </c>
      <c r="D26" s="2" t="s">
        <v>31</v>
      </c>
      <c r="E26" s="2" t="s">
        <v>115</v>
      </c>
      <c r="F26" s="2" t="s">
        <v>33</v>
      </c>
      <c r="G26" s="2" t="s">
        <v>34</v>
      </c>
      <c r="H26" s="2" t="s">
        <v>179</v>
      </c>
      <c r="I26" s="2" t="s">
        <v>36</v>
      </c>
      <c r="J26" s="2">
        <v>0</v>
      </c>
      <c r="K26" s="2">
        <v>1</v>
      </c>
      <c r="L26" s="2">
        <v>6</v>
      </c>
      <c r="M26" s="2" t="s">
        <v>37</v>
      </c>
      <c r="N26" s="2">
        <v>1</v>
      </c>
      <c r="O26" s="2">
        <v>1</v>
      </c>
      <c r="P26" s="2">
        <v>0</v>
      </c>
      <c r="Q26" s="2" t="s">
        <v>180</v>
      </c>
      <c r="R26" s="2">
        <v>2</v>
      </c>
      <c r="S26" s="2">
        <v>1</v>
      </c>
      <c r="T26" s="2">
        <v>0</v>
      </c>
      <c r="U26" s="2"/>
      <c r="V26" s="2"/>
      <c r="W26" s="2"/>
      <c r="X26" s="2"/>
      <c r="Y26" s="3" t="s">
        <v>181</v>
      </c>
      <c r="Z26" s="3" t="s">
        <v>170</v>
      </c>
      <c r="AA26" s="2">
        <f>IF(OR(D26="Monster", E26="Basic"), 0, ROUND((MIN(IFERROR(VLOOKUP(G26, Relic_Price_Config!$A$5:$E$9, 4, FALSE), 350), MAX(IFERROR(VLOOKUP(G26, Relic_Price_Config!$A$5:$E$9, 3, FALSE), 210), ROUND((IFERROR(VLOOKUP(H26, Relic_Price_Config!$G$5:$N$100, 4, FALSE), 280) + N(L26) * IF(N(O26)&gt;1, N(O26), 1) * IFERROR(VLOOKUP(H26, Relic_Price_Config!$G$5:$N$100, 5, FALSE), 10) + ABS(N(R26)) * IFERROR(VLOOKUP(H26, Relic_Price_Config!$G$5:$N$100, 6, FALSE), 15) + IF(N(S26)&gt;1, (N(S26)-1)*10, 0)) * IFERROR(VLOOKUP(G26, Relic_Price_Config!$A$5:$E$9, 2, FALSE), 1), 0))) * 0.1) / 5, 0) * 5)</f>
        <v>35</v>
      </c>
      <c r="AB26" s="2">
        <f t="shared" si="0"/>
        <v>25</v>
      </c>
    </row>
    <row r="27" spans="1:28" ht="24" customHeight="1">
      <c r="A27" s="5" t="s">
        <v>182</v>
      </c>
      <c r="B27" s="5" t="s">
        <v>183</v>
      </c>
      <c r="C27" s="9" t="s">
        <v>184</v>
      </c>
      <c r="D27" s="5" t="s">
        <v>31</v>
      </c>
      <c r="E27" s="2" t="s">
        <v>115</v>
      </c>
      <c r="F27" s="5" t="s">
        <v>51</v>
      </c>
      <c r="G27" s="5" t="s">
        <v>34</v>
      </c>
      <c r="H27" s="5" t="s">
        <v>185</v>
      </c>
      <c r="I27" s="5" t="s">
        <v>45</v>
      </c>
      <c r="J27" s="5">
        <v>0</v>
      </c>
      <c r="K27" s="5">
        <v>1</v>
      </c>
      <c r="L27" s="5">
        <v>0</v>
      </c>
      <c r="M27" s="5"/>
      <c r="N27" s="5">
        <v>0</v>
      </c>
      <c r="O27" s="5">
        <v>1</v>
      </c>
      <c r="P27" s="5">
        <v>0</v>
      </c>
      <c r="Q27" s="5" t="s">
        <v>71</v>
      </c>
      <c r="R27" s="5">
        <v>2</v>
      </c>
      <c r="S27" s="5">
        <v>1</v>
      </c>
      <c r="T27" s="5">
        <v>2</v>
      </c>
      <c r="U27" s="5"/>
      <c r="V27" s="5"/>
      <c r="W27" s="5"/>
      <c r="X27" s="5"/>
      <c r="Y27" s="6" t="s">
        <v>186</v>
      </c>
      <c r="Z27" s="6" t="s">
        <v>187</v>
      </c>
      <c r="AA27" s="5">
        <f>IF(OR(D27="Monster", E27="Basic"), 0, ROUND((MIN(IFERROR(VLOOKUP(G27, Relic_Price_Config!$A$5:$E$9, 4, FALSE), 350), MAX(IFERROR(VLOOKUP(G27, Relic_Price_Config!$A$5:$E$9, 3, FALSE), 210), ROUND((IFERROR(VLOOKUP(H27, Relic_Price_Config!$G$5:$N$100, 4, FALSE), 280) + N(L27) * IF(N(O27)&gt;1, N(O27), 1) * IFERROR(VLOOKUP(H27, Relic_Price_Config!$G$5:$N$100, 5, FALSE), 10) + ABS(N(R27)) * IFERROR(VLOOKUP(H27, Relic_Price_Config!$G$5:$N$100, 6, FALSE), 15) + IF(N(S27)&gt;1, (N(S27)-1)*10, 0)) * IFERROR(VLOOKUP(G27, Relic_Price_Config!$A$5:$E$9, 2, FALSE), 1), 0))) * 0.1) / 5, 0) * 5)</f>
        <v>30</v>
      </c>
      <c r="AB27" s="5">
        <f t="shared" si="0"/>
        <v>20</v>
      </c>
    </row>
    <row r="28" spans="1:28" s="8" customFormat="1" ht="24" customHeight="1">
      <c r="A28" s="2" t="s">
        <v>188</v>
      </c>
      <c r="B28" s="2" t="s">
        <v>189</v>
      </c>
      <c r="C28" s="3" t="s">
        <v>190</v>
      </c>
      <c r="D28" s="2" t="s">
        <v>31</v>
      </c>
      <c r="E28" s="2" t="s">
        <v>115</v>
      </c>
      <c r="F28" s="2" t="s">
        <v>33</v>
      </c>
      <c r="G28" s="2" t="s">
        <v>34</v>
      </c>
      <c r="H28" s="2" t="s">
        <v>191</v>
      </c>
      <c r="I28" s="2" t="s">
        <v>36</v>
      </c>
      <c r="J28" s="2">
        <v>0</v>
      </c>
      <c r="K28" s="2">
        <v>1</v>
      </c>
      <c r="L28" s="2">
        <v>8</v>
      </c>
      <c r="M28" s="2" t="s">
        <v>37</v>
      </c>
      <c r="N28" s="2">
        <v>1</v>
      </c>
      <c r="O28" s="2">
        <v>1</v>
      </c>
      <c r="P28" s="2">
        <v>4</v>
      </c>
      <c r="Q28" s="2" t="s">
        <v>19</v>
      </c>
      <c r="R28" s="2">
        <v>2</v>
      </c>
      <c r="S28" s="2">
        <v>0</v>
      </c>
      <c r="T28" s="2">
        <v>2</v>
      </c>
      <c r="U28" s="2"/>
      <c r="V28" s="2"/>
      <c r="W28" s="2"/>
      <c r="X28" s="2"/>
      <c r="Y28" s="3" t="s">
        <v>192</v>
      </c>
      <c r="Z28" s="3" t="s">
        <v>193</v>
      </c>
      <c r="AA28" s="2">
        <f>IF(OR(D28="Monster", E28="Basic"), 0, ROUND((MIN(IFERROR(VLOOKUP(G28, Relic_Price_Config!$A$5:$E$9, 4, FALSE), 350), MAX(IFERROR(VLOOKUP(G28, Relic_Price_Config!$A$5:$E$9, 3, FALSE), 210), ROUND((IFERROR(VLOOKUP(H28, Relic_Price_Config!$G$5:$N$100, 4, FALSE), 280) + N(L28) * IF(N(O28)&gt;1, N(O28), 1) * IFERROR(VLOOKUP(H28, Relic_Price_Config!$G$5:$N$100, 5, FALSE), 10) + ABS(N(R28)) * IFERROR(VLOOKUP(H28, Relic_Price_Config!$G$5:$N$100, 6, FALSE), 15) + IF(N(S28)&gt;1, (N(S28)-1)*10, 0)) * IFERROR(VLOOKUP(G28, Relic_Price_Config!$A$5:$E$9, 2, FALSE), 1), 0))) * 0.1) / 5, 0) * 5)</f>
        <v>30</v>
      </c>
      <c r="AB28" s="2">
        <f t="shared" si="0"/>
        <v>20</v>
      </c>
    </row>
    <row r="29" spans="1:28" ht="36" customHeight="1">
      <c r="A29" s="5" t="s">
        <v>194</v>
      </c>
      <c r="B29" s="5" t="s">
        <v>195</v>
      </c>
      <c r="C29" s="9" t="s">
        <v>196</v>
      </c>
      <c r="D29" s="5" t="s">
        <v>31</v>
      </c>
      <c r="E29" s="2" t="s">
        <v>115</v>
      </c>
      <c r="F29" s="5" t="s">
        <v>33</v>
      </c>
      <c r="G29" s="5" t="s">
        <v>34</v>
      </c>
      <c r="H29" s="5" t="s">
        <v>197</v>
      </c>
      <c r="I29" s="5" t="s">
        <v>108</v>
      </c>
      <c r="J29" s="5">
        <v>0</v>
      </c>
      <c r="K29" s="5">
        <v>1</v>
      </c>
      <c r="L29" s="5">
        <v>7</v>
      </c>
      <c r="M29" s="5" t="s">
        <v>37</v>
      </c>
      <c r="N29" s="5">
        <v>1</v>
      </c>
      <c r="O29" s="5">
        <v>1</v>
      </c>
      <c r="P29" s="5">
        <v>2</v>
      </c>
      <c r="Q29" s="5" t="s">
        <v>19</v>
      </c>
      <c r="R29" s="5">
        <v>3</v>
      </c>
      <c r="S29" s="5">
        <v>0</v>
      </c>
      <c r="T29" s="5">
        <v>3</v>
      </c>
      <c r="U29" s="5"/>
      <c r="V29" s="5"/>
      <c r="W29" s="5"/>
      <c r="X29" s="5"/>
      <c r="Y29" s="6" t="s">
        <v>198</v>
      </c>
      <c r="Z29" s="6" t="s">
        <v>199</v>
      </c>
      <c r="AA29" s="5">
        <f>IF(OR(D29="Monster", E29="Basic"), 0, ROUND((MIN(IFERROR(VLOOKUP(G29, Relic_Price_Config!$A$5:$E$9, 4, FALSE), 350), MAX(IFERROR(VLOOKUP(G29, Relic_Price_Config!$A$5:$E$9, 3, FALSE), 210), ROUND((IFERROR(VLOOKUP(H29, Relic_Price_Config!$G$5:$N$100, 4, FALSE), 280) + N(L29) * IF(N(O29)&gt;1, N(O29), 1) * IFERROR(VLOOKUP(H29, Relic_Price_Config!$G$5:$N$100, 5, FALSE), 10) + ABS(N(R29)) * IFERROR(VLOOKUP(H29, Relic_Price_Config!$G$5:$N$100, 6, FALSE), 15) + IF(N(S29)&gt;1, (N(S29)-1)*10, 0)) * IFERROR(VLOOKUP(G29, Relic_Price_Config!$A$5:$E$9, 2, FALSE), 1), 0))) * 0.1) / 5, 0) * 5)</f>
        <v>30</v>
      </c>
      <c r="AB29" s="5">
        <f t="shared" si="0"/>
        <v>20</v>
      </c>
    </row>
    <row r="30" spans="1:28" s="8" customFormat="1" ht="24" customHeight="1">
      <c r="A30" s="2" t="s">
        <v>200</v>
      </c>
      <c r="B30" s="2" t="s">
        <v>201</v>
      </c>
      <c r="C30" s="3" t="s">
        <v>202</v>
      </c>
      <c r="D30" s="2" t="s">
        <v>31</v>
      </c>
      <c r="E30" s="2" t="s">
        <v>115</v>
      </c>
      <c r="F30" s="2" t="s">
        <v>33</v>
      </c>
      <c r="G30" s="2" t="s">
        <v>34</v>
      </c>
      <c r="H30" s="2" t="s">
        <v>191</v>
      </c>
      <c r="I30" s="2" t="s">
        <v>36</v>
      </c>
      <c r="J30" s="2">
        <v>0</v>
      </c>
      <c r="K30" s="2">
        <v>1</v>
      </c>
      <c r="L30" s="2">
        <v>12</v>
      </c>
      <c r="M30" s="2" t="s">
        <v>37</v>
      </c>
      <c r="N30" s="2">
        <v>1</v>
      </c>
      <c r="O30" s="2">
        <v>1</v>
      </c>
      <c r="P30" s="2">
        <v>6</v>
      </c>
      <c r="Q30" s="2" t="s">
        <v>19</v>
      </c>
      <c r="R30" s="2">
        <v>4</v>
      </c>
      <c r="S30" s="2">
        <v>0</v>
      </c>
      <c r="T30" s="2">
        <v>4</v>
      </c>
      <c r="U30" s="2"/>
      <c r="V30" s="2"/>
      <c r="W30" s="2"/>
      <c r="X30" s="2"/>
      <c r="Y30" s="3" t="s">
        <v>203</v>
      </c>
      <c r="Z30" s="3" t="s">
        <v>204</v>
      </c>
      <c r="AA30" s="2">
        <f>IF(OR(D30="Monster", E30="Basic"), 0, ROUND((MIN(IFERROR(VLOOKUP(G30, Relic_Price_Config!$A$5:$E$9, 4, FALSE), 350), MAX(IFERROR(VLOOKUP(G30, Relic_Price_Config!$A$5:$E$9, 3, FALSE), 210), ROUND((IFERROR(VLOOKUP(H30, Relic_Price_Config!$G$5:$N$100, 4, FALSE), 280) + N(L30) * IF(N(O30)&gt;1, N(O30), 1) * IFERROR(VLOOKUP(H30, Relic_Price_Config!$G$5:$N$100, 5, FALSE), 10) + ABS(N(R30)) * IFERROR(VLOOKUP(H30, Relic_Price_Config!$G$5:$N$100, 6, FALSE), 15) + IF(N(S30)&gt;1, (N(S30)-1)*10, 0)) * IFERROR(VLOOKUP(G30, Relic_Price_Config!$A$5:$E$9, 2, FALSE), 1), 0))) * 0.1) / 5, 0) * 5)</f>
        <v>30</v>
      </c>
      <c r="AB30" s="2">
        <f t="shared" si="0"/>
        <v>20</v>
      </c>
    </row>
    <row r="31" spans="1:28" ht="24">
      <c r="A31" s="5" t="s">
        <v>205</v>
      </c>
      <c r="B31" s="5" t="s">
        <v>206</v>
      </c>
      <c r="C31" s="9" t="s">
        <v>207</v>
      </c>
      <c r="D31" s="5" t="s">
        <v>31</v>
      </c>
      <c r="E31" s="2" t="s">
        <v>115</v>
      </c>
      <c r="F31" s="5" t="s">
        <v>51</v>
      </c>
      <c r="G31" s="5" t="s">
        <v>208</v>
      </c>
      <c r="H31" s="5" t="s">
        <v>70</v>
      </c>
      <c r="I31" s="5" t="s">
        <v>45</v>
      </c>
      <c r="J31" s="5">
        <v>0</v>
      </c>
      <c r="K31" s="5">
        <v>1</v>
      </c>
      <c r="L31" s="5">
        <v>0</v>
      </c>
      <c r="M31" s="5"/>
      <c r="N31" s="5">
        <v>0</v>
      </c>
      <c r="O31" s="5">
        <v>1</v>
      </c>
      <c r="P31" s="5">
        <v>0</v>
      </c>
      <c r="Q31" s="5" t="s">
        <v>71</v>
      </c>
      <c r="R31" s="5">
        <v>2</v>
      </c>
      <c r="S31" s="5">
        <v>2</v>
      </c>
      <c r="T31" s="5">
        <v>0</v>
      </c>
      <c r="U31" s="5"/>
      <c r="V31" s="5"/>
      <c r="W31" s="5"/>
      <c r="X31" s="5"/>
      <c r="Y31" s="6" t="s">
        <v>209</v>
      </c>
      <c r="Z31" s="6" t="s">
        <v>210</v>
      </c>
      <c r="AA31" s="5">
        <f>IF(OR(D31="Monster", E31="Basic"), 0, ROUND((MIN(IFERROR(VLOOKUP(G31, Relic_Price_Config!$A$5:$E$9, 4, FALSE), 350), MAX(IFERROR(VLOOKUP(G31, Relic_Price_Config!$A$5:$E$9, 3, FALSE), 210), ROUND((IFERROR(VLOOKUP(H31, Relic_Price_Config!$G$5:$N$100, 4, FALSE), 280) + N(L31) * IF(N(O31)&gt;1, N(O31), 1) * IFERROR(VLOOKUP(H31, Relic_Price_Config!$G$5:$N$100, 5, FALSE), 10) + ABS(N(R31)) * IFERROR(VLOOKUP(H31, Relic_Price_Config!$G$5:$N$100, 6, FALSE), 15) + IF(N(S31)&gt;1, (N(S31)-1)*10, 0)) * IFERROR(VLOOKUP(G31, Relic_Price_Config!$A$5:$E$9, 2, FALSE), 1), 0))) * 0.1) / 5, 0) * 5)</f>
        <v>50</v>
      </c>
      <c r="AB31" s="5">
        <f t="shared" si="0"/>
        <v>35</v>
      </c>
    </row>
    <row r="32" spans="1:28" s="8" customFormat="1" ht="24" customHeight="1">
      <c r="A32" s="2" t="s">
        <v>211</v>
      </c>
      <c r="B32" s="2" t="s">
        <v>212</v>
      </c>
      <c r="C32" s="3" t="s">
        <v>213</v>
      </c>
      <c r="D32" s="2" t="s">
        <v>31</v>
      </c>
      <c r="E32" s="2" t="s">
        <v>115</v>
      </c>
      <c r="F32" s="2" t="s">
        <v>43</v>
      </c>
      <c r="G32" s="2" t="s">
        <v>208</v>
      </c>
      <c r="H32" s="2" t="s">
        <v>214</v>
      </c>
      <c r="I32" s="2" t="s">
        <v>45</v>
      </c>
      <c r="J32" s="2">
        <v>0</v>
      </c>
      <c r="K32" s="2">
        <v>1</v>
      </c>
      <c r="L32" s="2">
        <v>9</v>
      </c>
      <c r="M32" s="2" t="s">
        <v>46</v>
      </c>
      <c r="N32" s="2">
        <v>1</v>
      </c>
      <c r="O32" s="2">
        <v>1</v>
      </c>
      <c r="P32" s="2">
        <v>0</v>
      </c>
      <c r="Q32" s="2" t="s">
        <v>101</v>
      </c>
      <c r="R32" s="2">
        <v>2</v>
      </c>
      <c r="S32" s="2">
        <v>1</v>
      </c>
      <c r="T32" s="2">
        <v>0</v>
      </c>
      <c r="U32" s="2"/>
      <c r="V32" s="2"/>
      <c r="W32" s="2"/>
      <c r="X32" s="2"/>
      <c r="Y32" s="3" t="s">
        <v>215</v>
      </c>
      <c r="Z32" s="3" t="s">
        <v>210</v>
      </c>
      <c r="AA32" s="2">
        <f>IF(OR(D32="Monster", E32="Basic"), 0, ROUND((MIN(IFERROR(VLOOKUP(G32, Relic_Price_Config!$A$5:$E$9, 4, FALSE), 350), MAX(IFERROR(VLOOKUP(G32, Relic_Price_Config!$A$5:$E$9, 3, FALSE), 210), ROUND((IFERROR(VLOOKUP(H32, Relic_Price_Config!$G$5:$N$100, 4, FALSE), 280) + N(L32) * IF(N(O32)&gt;1, N(O32), 1) * IFERROR(VLOOKUP(H32, Relic_Price_Config!$G$5:$N$100, 5, FALSE), 10) + ABS(N(R32)) * IFERROR(VLOOKUP(H32, Relic_Price_Config!$G$5:$N$100, 6, FALSE), 15) + IF(N(S32)&gt;1, (N(S32)-1)*10, 0)) * IFERROR(VLOOKUP(G32, Relic_Price_Config!$A$5:$E$9, 2, FALSE), 1), 0))) * 0.1) / 5, 0) * 5)</f>
        <v>50</v>
      </c>
      <c r="AB32" s="2">
        <f t="shared" si="0"/>
        <v>35</v>
      </c>
    </row>
    <row r="33" spans="1:28" ht="24">
      <c r="A33" s="5" t="s">
        <v>216</v>
      </c>
      <c r="B33" s="5" t="s">
        <v>217</v>
      </c>
      <c r="C33" s="9" t="s">
        <v>218</v>
      </c>
      <c r="D33" s="5" t="s">
        <v>31</v>
      </c>
      <c r="E33" s="2" t="s">
        <v>115</v>
      </c>
      <c r="F33" s="5" t="s">
        <v>33</v>
      </c>
      <c r="G33" s="5" t="s">
        <v>208</v>
      </c>
      <c r="H33" s="5" t="s">
        <v>35</v>
      </c>
      <c r="I33" s="5" t="s">
        <v>36</v>
      </c>
      <c r="J33" s="5">
        <v>0</v>
      </c>
      <c r="K33" s="5">
        <v>1</v>
      </c>
      <c r="L33" s="5">
        <v>4</v>
      </c>
      <c r="M33" s="5" t="s">
        <v>37</v>
      </c>
      <c r="N33" s="5">
        <v>1</v>
      </c>
      <c r="O33" s="5">
        <v>4</v>
      </c>
      <c r="P33" s="5">
        <v>0</v>
      </c>
      <c r="Q33" s="5"/>
      <c r="R33" s="5">
        <v>0</v>
      </c>
      <c r="S33" s="5">
        <v>0</v>
      </c>
      <c r="T33" s="5">
        <v>0</v>
      </c>
      <c r="U33" s="5"/>
      <c r="V33" s="5"/>
      <c r="W33" s="5"/>
      <c r="X33" s="5"/>
      <c r="Y33" s="6" t="s">
        <v>219</v>
      </c>
      <c r="Z33" s="6" t="s">
        <v>210</v>
      </c>
      <c r="AA33" s="5">
        <f>IF(OR(D33="Monster", E33="Basic"), 0, ROUND((MIN(IFERROR(VLOOKUP(G33, Relic_Price_Config!$A$5:$E$9, 4, FALSE), 350), MAX(IFERROR(VLOOKUP(G33, Relic_Price_Config!$A$5:$E$9, 3, FALSE), 210), ROUND((IFERROR(VLOOKUP(H33, Relic_Price_Config!$G$5:$N$100, 4, FALSE), 280) + N(L33) * IF(N(O33)&gt;1, N(O33), 1) * IFERROR(VLOOKUP(H33, Relic_Price_Config!$G$5:$N$100, 5, FALSE), 10) + ABS(N(R33)) * IFERROR(VLOOKUP(H33, Relic_Price_Config!$G$5:$N$100, 6, FALSE), 15) + IF(N(S33)&gt;1, (N(S33)-1)*10, 0)) * IFERROR(VLOOKUP(G33, Relic_Price_Config!$A$5:$E$9, 2, FALSE), 1), 0))) * 0.1) / 5, 0) * 5)</f>
        <v>55</v>
      </c>
      <c r="AB33" s="5">
        <f t="shared" si="0"/>
        <v>40</v>
      </c>
    </row>
    <row r="34" spans="1:28" s="8" customFormat="1" ht="24" customHeight="1">
      <c r="A34" s="2" t="s">
        <v>220</v>
      </c>
      <c r="B34" s="2" t="s">
        <v>221</v>
      </c>
      <c r="C34" s="3" t="s">
        <v>222</v>
      </c>
      <c r="D34" s="2" t="s">
        <v>31</v>
      </c>
      <c r="E34" s="2" t="s">
        <v>115</v>
      </c>
      <c r="F34" s="2" t="s">
        <v>33</v>
      </c>
      <c r="G34" s="2" t="s">
        <v>208</v>
      </c>
      <c r="H34" s="2" t="s">
        <v>129</v>
      </c>
      <c r="I34" s="2" t="s">
        <v>36</v>
      </c>
      <c r="J34" s="2">
        <v>0</v>
      </c>
      <c r="K34" s="2">
        <v>1</v>
      </c>
      <c r="L34" s="2">
        <v>12</v>
      </c>
      <c r="M34" s="2" t="s">
        <v>37</v>
      </c>
      <c r="N34" s="2">
        <v>1</v>
      </c>
      <c r="O34" s="2">
        <v>1</v>
      </c>
      <c r="P34" s="2">
        <v>0</v>
      </c>
      <c r="Q34" s="2" t="s">
        <v>130</v>
      </c>
      <c r="R34" s="2">
        <v>2</v>
      </c>
      <c r="S34" s="2">
        <v>2</v>
      </c>
      <c r="T34" s="2">
        <v>0</v>
      </c>
      <c r="U34" s="2"/>
      <c r="V34" s="2"/>
      <c r="W34" s="2"/>
      <c r="X34" s="2"/>
      <c r="Y34" s="3" t="s">
        <v>223</v>
      </c>
      <c r="Z34" s="3" t="s">
        <v>224</v>
      </c>
      <c r="AA34" s="2">
        <f>IF(OR(D34="Monster", E34="Basic"), 0, ROUND((MIN(IFERROR(VLOOKUP(G34, Relic_Price_Config!$A$5:$E$9, 4, FALSE), 350), MAX(IFERROR(VLOOKUP(G34, Relic_Price_Config!$A$5:$E$9, 3, FALSE), 210), ROUND((IFERROR(VLOOKUP(H34, Relic_Price_Config!$G$5:$N$100, 4, FALSE), 280) + N(L34) * IF(N(O34)&gt;1, N(O34), 1) * IFERROR(VLOOKUP(H34, Relic_Price_Config!$G$5:$N$100, 5, FALSE), 10) + ABS(N(R34)) * IFERROR(VLOOKUP(H34, Relic_Price_Config!$G$5:$N$100, 6, FALSE), 15) + IF(N(S34)&gt;1, (N(S34)-1)*10, 0)) * IFERROR(VLOOKUP(G34, Relic_Price_Config!$A$5:$E$9, 2, FALSE), 1), 0))) * 0.1) / 5, 0) * 5)</f>
        <v>55</v>
      </c>
      <c r="AB34" s="2">
        <f t="shared" si="0"/>
        <v>40</v>
      </c>
    </row>
    <row r="35" spans="1:28" ht="24" customHeight="1">
      <c r="A35" s="5" t="s">
        <v>225</v>
      </c>
      <c r="B35" s="5" t="s">
        <v>226</v>
      </c>
      <c r="C35" s="9" t="s">
        <v>227</v>
      </c>
      <c r="D35" s="5" t="s">
        <v>31</v>
      </c>
      <c r="E35" s="2" t="s">
        <v>115</v>
      </c>
      <c r="F35" s="5" t="s">
        <v>43</v>
      </c>
      <c r="G35" s="5" t="s">
        <v>208</v>
      </c>
      <c r="H35" s="5" t="s">
        <v>228</v>
      </c>
      <c r="I35" s="5" t="s">
        <v>45</v>
      </c>
      <c r="J35" s="5">
        <v>0</v>
      </c>
      <c r="K35" s="5">
        <v>1</v>
      </c>
      <c r="L35" s="5">
        <v>14</v>
      </c>
      <c r="M35" s="5" t="s">
        <v>46</v>
      </c>
      <c r="N35" s="5">
        <v>1</v>
      </c>
      <c r="O35" s="5">
        <v>1</v>
      </c>
      <c r="P35" s="5">
        <v>0</v>
      </c>
      <c r="Q35" s="5" t="s">
        <v>229</v>
      </c>
      <c r="R35" s="5">
        <v>2</v>
      </c>
      <c r="S35" s="5">
        <v>2</v>
      </c>
      <c r="T35" s="5">
        <v>0</v>
      </c>
      <c r="U35" s="5"/>
      <c r="V35" s="5"/>
      <c r="W35" s="5"/>
      <c r="X35" s="5"/>
      <c r="Y35" s="6" t="s">
        <v>230</v>
      </c>
      <c r="Z35" s="6" t="s">
        <v>224</v>
      </c>
      <c r="AA35" s="5">
        <f>IF(OR(D35="Monster", E35="Basic"), 0, ROUND((MIN(IFERROR(VLOOKUP(G35, Relic_Price_Config!$A$5:$E$9, 4, FALSE), 350), MAX(IFERROR(VLOOKUP(G35, Relic_Price_Config!$A$5:$E$9, 3, FALSE), 210), ROUND((IFERROR(VLOOKUP(H35, Relic_Price_Config!$G$5:$N$100, 4, FALSE), 280) + N(L35) * IF(N(O35)&gt;1, N(O35), 1) * IFERROR(VLOOKUP(H35, Relic_Price_Config!$G$5:$N$100, 5, FALSE), 10) + ABS(N(R35)) * IFERROR(VLOOKUP(H35, Relic_Price_Config!$G$5:$N$100, 6, FALSE), 15) + IF(N(S35)&gt;1, (N(S35)-1)*10, 0)) * IFERROR(VLOOKUP(G35, Relic_Price_Config!$A$5:$E$9, 2, FALSE), 1), 0))) * 0.1) / 5, 0) * 5)</f>
        <v>55</v>
      </c>
      <c r="AB35" s="5">
        <f t="shared" si="0"/>
        <v>40</v>
      </c>
    </row>
    <row r="36" spans="1:28" s="8" customFormat="1" ht="24" customHeight="1">
      <c r="A36" s="2" t="s">
        <v>231</v>
      </c>
      <c r="B36" s="2" t="s">
        <v>232</v>
      </c>
      <c r="C36" s="3" t="s">
        <v>233</v>
      </c>
      <c r="D36" s="2" t="s">
        <v>31</v>
      </c>
      <c r="E36" s="2" t="s">
        <v>115</v>
      </c>
      <c r="F36" s="2" t="s">
        <v>33</v>
      </c>
      <c r="G36" s="2" t="s">
        <v>208</v>
      </c>
      <c r="H36" s="2" t="s">
        <v>140</v>
      </c>
      <c r="I36" s="2" t="s">
        <v>36</v>
      </c>
      <c r="J36" s="2">
        <v>0</v>
      </c>
      <c r="K36" s="2">
        <v>1</v>
      </c>
      <c r="L36" s="2">
        <v>11</v>
      </c>
      <c r="M36" s="2" t="s">
        <v>37</v>
      </c>
      <c r="N36" s="2">
        <v>1</v>
      </c>
      <c r="O36" s="2">
        <v>1</v>
      </c>
      <c r="P36" s="2">
        <v>7</v>
      </c>
      <c r="Q36" s="2"/>
      <c r="R36" s="2">
        <v>0</v>
      </c>
      <c r="S36" s="2">
        <v>0</v>
      </c>
      <c r="T36" s="2">
        <v>0</v>
      </c>
      <c r="U36" s="2"/>
      <c r="V36" s="2"/>
      <c r="W36" s="2"/>
      <c r="X36" s="2"/>
      <c r="Y36" s="3" t="s">
        <v>234</v>
      </c>
      <c r="Z36" s="3" t="s">
        <v>235</v>
      </c>
      <c r="AA36" s="2">
        <f>IF(OR(D36="Monster", E36="Basic"), 0, ROUND((MIN(IFERROR(VLOOKUP(G36, Relic_Price_Config!$A$5:$E$9, 4, FALSE), 350), MAX(IFERROR(VLOOKUP(G36, Relic_Price_Config!$A$5:$E$9, 3, FALSE), 210), ROUND((IFERROR(VLOOKUP(H36, Relic_Price_Config!$G$5:$N$100, 4, FALSE), 280) + N(L36) * IF(N(O36)&gt;1, N(O36), 1) * IFERROR(VLOOKUP(H36, Relic_Price_Config!$G$5:$N$100, 5, FALSE), 10) + ABS(N(R36)) * IFERROR(VLOOKUP(H36, Relic_Price_Config!$G$5:$N$100, 6, FALSE), 15) + IF(N(S36)&gt;1, (N(S36)-1)*10, 0)) * IFERROR(VLOOKUP(G36, Relic_Price_Config!$A$5:$E$9, 2, FALSE), 1), 0))) * 0.1) / 5, 0) * 5)</f>
        <v>50</v>
      </c>
      <c r="AB36" s="2">
        <f t="shared" si="0"/>
        <v>35</v>
      </c>
    </row>
    <row r="37" spans="1:28" ht="24" customHeight="1">
      <c r="A37" s="5" t="s">
        <v>236</v>
      </c>
      <c r="B37" s="5" t="s">
        <v>237</v>
      </c>
      <c r="C37" s="9" t="s">
        <v>238</v>
      </c>
      <c r="D37" s="5" t="s">
        <v>31</v>
      </c>
      <c r="E37" s="2" t="s">
        <v>115</v>
      </c>
      <c r="F37" s="5" t="s">
        <v>51</v>
      </c>
      <c r="G37" s="5" t="s">
        <v>208</v>
      </c>
      <c r="H37" s="5" t="s">
        <v>239</v>
      </c>
      <c r="I37" s="5" t="s">
        <v>45</v>
      </c>
      <c r="J37" s="5">
        <v>0</v>
      </c>
      <c r="K37" s="5">
        <v>1</v>
      </c>
      <c r="L37" s="5">
        <v>1</v>
      </c>
      <c r="M37" s="5"/>
      <c r="N37" s="5">
        <v>0</v>
      </c>
      <c r="O37" s="5">
        <v>1</v>
      </c>
      <c r="P37" s="5">
        <v>0</v>
      </c>
      <c r="Q37" s="5" t="s">
        <v>159</v>
      </c>
      <c r="R37" s="5">
        <v>1</v>
      </c>
      <c r="S37" s="5">
        <v>2</v>
      </c>
      <c r="T37" s="5">
        <v>0</v>
      </c>
      <c r="U37" s="5"/>
      <c r="V37" s="5"/>
      <c r="W37" s="5"/>
      <c r="X37" s="5"/>
      <c r="Y37" s="6" t="s">
        <v>240</v>
      </c>
      <c r="Z37" s="6" t="s">
        <v>241</v>
      </c>
      <c r="AA37" s="5">
        <f>IF(OR(D37="Monster", E37="Basic"), 0, ROUND((MIN(IFERROR(VLOOKUP(G37, Relic_Price_Config!$A$5:$E$9, 4, FALSE), 350), MAX(IFERROR(VLOOKUP(G37, Relic_Price_Config!$A$5:$E$9, 3, FALSE), 210), ROUND((IFERROR(VLOOKUP(H37, Relic_Price_Config!$G$5:$N$100, 4, FALSE), 280) + N(L37) * IF(N(O37)&gt;1, N(O37), 1) * IFERROR(VLOOKUP(H37, Relic_Price_Config!$G$5:$N$100, 5, FALSE), 10) + ABS(N(R37)) * IFERROR(VLOOKUP(H37, Relic_Price_Config!$G$5:$N$100, 6, FALSE), 15) + IF(N(S37)&gt;1, (N(S37)-1)*10, 0)) * IFERROR(VLOOKUP(G37, Relic_Price_Config!$A$5:$E$9, 2, FALSE), 1), 0))) * 0.1) / 5, 0) * 5)</f>
        <v>50</v>
      </c>
      <c r="AB37" s="5">
        <f t="shared" si="0"/>
        <v>35</v>
      </c>
    </row>
    <row r="38" spans="1:28" s="8" customFormat="1" ht="24" customHeight="1">
      <c r="A38" s="2" t="s">
        <v>242</v>
      </c>
      <c r="B38" s="2" t="s">
        <v>243</v>
      </c>
      <c r="C38" s="3" t="s">
        <v>244</v>
      </c>
      <c r="D38" s="2" t="s">
        <v>31</v>
      </c>
      <c r="E38" s="2" t="s">
        <v>115</v>
      </c>
      <c r="F38" s="2" t="s">
        <v>33</v>
      </c>
      <c r="G38" s="2" t="s">
        <v>208</v>
      </c>
      <c r="H38" s="2" t="s">
        <v>152</v>
      </c>
      <c r="I38" s="2" t="s">
        <v>36</v>
      </c>
      <c r="J38" s="2">
        <v>0</v>
      </c>
      <c r="K38" s="2">
        <v>1</v>
      </c>
      <c r="L38" s="2">
        <v>10</v>
      </c>
      <c r="M38" s="2" t="s">
        <v>37</v>
      </c>
      <c r="N38" s="2">
        <v>1</v>
      </c>
      <c r="O38" s="2">
        <v>1</v>
      </c>
      <c r="P38" s="2">
        <v>6</v>
      </c>
      <c r="Q38" s="2"/>
      <c r="R38" s="2">
        <v>0</v>
      </c>
      <c r="S38" s="2">
        <v>0</v>
      </c>
      <c r="T38" s="2">
        <v>0</v>
      </c>
      <c r="U38" s="2"/>
      <c r="V38" s="2"/>
      <c r="W38" s="2"/>
      <c r="X38" s="2"/>
      <c r="Y38" s="3" t="s">
        <v>245</v>
      </c>
      <c r="Z38" s="3" t="s">
        <v>246</v>
      </c>
      <c r="AA38" s="2">
        <f>IF(OR(D38="Monster", E38="Basic"), 0, ROUND((MIN(IFERROR(VLOOKUP(G38, Relic_Price_Config!$A$5:$E$9, 4, FALSE), 350), MAX(IFERROR(VLOOKUP(G38, Relic_Price_Config!$A$5:$E$9, 3, FALSE), 210), ROUND((IFERROR(VLOOKUP(H38, Relic_Price_Config!$G$5:$N$100, 4, FALSE), 280) + N(L38) * IF(N(O38)&gt;1, N(O38), 1) * IFERROR(VLOOKUP(H38, Relic_Price_Config!$G$5:$N$100, 5, FALSE), 10) + ABS(N(R38)) * IFERROR(VLOOKUP(H38, Relic_Price_Config!$G$5:$N$100, 6, FALSE), 15) + IF(N(S38)&gt;1, (N(S38)-1)*10, 0)) * IFERROR(VLOOKUP(G38, Relic_Price_Config!$A$5:$E$9, 2, FALSE), 1), 0))) * 0.1) / 5, 0) * 5)</f>
        <v>50</v>
      </c>
      <c r="AB38" s="2">
        <f t="shared" si="0"/>
        <v>35</v>
      </c>
    </row>
    <row r="39" spans="1:28" ht="24" customHeight="1">
      <c r="A39" s="5" t="s">
        <v>247</v>
      </c>
      <c r="B39" s="5" t="s">
        <v>248</v>
      </c>
      <c r="C39" s="9" t="s">
        <v>249</v>
      </c>
      <c r="D39" s="5" t="s">
        <v>31</v>
      </c>
      <c r="E39" s="2" t="s">
        <v>115</v>
      </c>
      <c r="F39" s="5" t="s">
        <v>43</v>
      </c>
      <c r="G39" s="5" t="s">
        <v>208</v>
      </c>
      <c r="H39" s="5" t="s">
        <v>250</v>
      </c>
      <c r="I39" s="5" t="s">
        <v>45</v>
      </c>
      <c r="J39" s="5">
        <v>0</v>
      </c>
      <c r="K39" s="5">
        <v>1</v>
      </c>
      <c r="L39" s="5">
        <v>11</v>
      </c>
      <c r="M39" s="5" t="s">
        <v>46</v>
      </c>
      <c r="N39" s="5">
        <v>1</v>
      </c>
      <c r="O39" s="5">
        <v>1</v>
      </c>
      <c r="P39" s="5">
        <v>0</v>
      </c>
      <c r="Q39" s="5" t="s">
        <v>251</v>
      </c>
      <c r="R39" s="5">
        <v>20</v>
      </c>
      <c r="S39" s="5">
        <v>1</v>
      </c>
      <c r="T39" s="5">
        <v>0</v>
      </c>
      <c r="U39" s="5"/>
      <c r="V39" s="5"/>
      <c r="W39" s="5"/>
      <c r="X39" s="5"/>
      <c r="Y39" s="6" t="s">
        <v>252</v>
      </c>
      <c r="Z39" s="6" t="s">
        <v>241</v>
      </c>
      <c r="AA39" s="5">
        <f>IF(OR(D39="Monster", E39="Basic"), 0, ROUND((MIN(IFERROR(VLOOKUP(G39, Relic_Price_Config!$A$5:$E$9, 4, FALSE), 350), MAX(IFERROR(VLOOKUP(G39, Relic_Price_Config!$A$5:$E$9, 3, FALSE), 210), ROUND((IFERROR(VLOOKUP(H39, Relic_Price_Config!$G$5:$N$100, 4, FALSE), 280) + N(L39) * IF(N(O39)&gt;1, N(O39), 1) * IFERROR(VLOOKUP(H39, Relic_Price_Config!$G$5:$N$100, 5, FALSE), 10) + ABS(N(R39)) * IFERROR(VLOOKUP(H39, Relic_Price_Config!$G$5:$N$100, 6, FALSE), 15) + IF(N(S39)&gt;1, (N(S39)-1)*10, 0)) * IFERROR(VLOOKUP(G39, Relic_Price_Config!$A$5:$E$9, 2, FALSE), 1), 0))) * 0.1) / 5, 0) * 5)</f>
        <v>55</v>
      </c>
      <c r="AB39" s="5">
        <f t="shared" si="0"/>
        <v>40</v>
      </c>
    </row>
    <row r="40" spans="1:28" s="8" customFormat="1" ht="24" customHeight="1">
      <c r="A40" s="2" t="s">
        <v>253</v>
      </c>
      <c r="B40" s="2" t="s">
        <v>254</v>
      </c>
      <c r="C40" s="3" t="s">
        <v>255</v>
      </c>
      <c r="D40" s="2" t="s">
        <v>31</v>
      </c>
      <c r="E40" s="2" t="s">
        <v>115</v>
      </c>
      <c r="F40" s="2" t="s">
        <v>43</v>
      </c>
      <c r="G40" s="2" t="s">
        <v>208</v>
      </c>
      <c r="H40" s="2" t="s">
        <v>52</v>
      </c>
      <c r="I40" s="2" t="s">
        <v>45</v>
      </c>
      <c r="J40" s="2">
        <v>0</v>
      </c>
      <c r="K40" s="2">
        <v>1</v>
      </c>
      <c r="L40" s="2">
        <v>11</v>
      </c>
      <c r="M40" s="2" t="s">
        <v>46</v>
      </c>
      <c r="N40" s="2">
        <v>1</v>
      </c>
      <c r="O40" s="2">
        <v>1</v>
      </c>
      <c r="P40" s="2">
        <v>4</v>
      </c>
      <c r="Q40" s="2" t="s">
        <v>53</v>
      </c>
      <c r="R40" s="2">
        <v>1</v>
      </c>
      <c r="S40" s="2">
        <v>1</v>
      </c>
      <c r="T40" s="2">
        <v>0</v>
      </c>
      <c r="U40" s="2"/>
      <c r="V40" s="2"/>
      <c r="W40" s="2"/>
      <c r="X40" s="2"/>
      <c r="Y40" s="3" t="s">
        <v>256</v>
      </c>
      <c r="Z40" s="3" t="s">
        <v>257</v>
      </c>
      <c r="AA40" s="2">
        <f>IF(OR(D40="Monster", E40="Basic"), 0, ROUND((MIN(IFERROR(VLOOKUP(G40, Relic_Price_Config!$A$5:$E$9, 4, FALSE), 350), MAX(IFERROR(VLOOKUP(G40, Relic_Price_Config!$A$5:$E$9, 3, FALSE), 210), ROUND((IFERROR(VLOOKUP(H40, Relic_Price_Config!$G$5:$N$100, 4, FALSE), 280) + N(L40) * IF(N(O40)&gt;1, N(O40), 1) * IFERROR(VLOOKUP(H40, Relic_Price_Config!$G$5:$N$100, 5, FALSE), 10) + ABS(N(R40)) * IFERROR(VLOOKUP(H40, Relic_Price_Config!$G$5:$N$100, 6, FALSE), 15) + IF(N(S40)&gt;1, (N(S40)-1)*10, 0)) * IFERROR(VLOOKUP(G40, Relic_Price_Config!$A$5:$E$9, 2, FALSE), 1), 0))) * 0.1) / 5, 0) * 5)</f>
        <v>55</v>
      </c>
      <c r="AB40" s="2">
        <f t="shared" si="0"/>
        <v>40</v>
      </c>
    </row>
    <row r="41" spans="1:28" ht="24">
      <c r="A41" s="5" t="s">
        <v>258</v>
      </c>
      <c r="B41" s="5" t="s">
        <v>259</v>
      </c>
      <c r="C41" s="9" t="s">
        <v>260</v>
      </c>
      <c r="D41" s="5" t="s">
        <v>31</v>
      </c>
      <c r="E41" s="2" t="s">
        <v>115</v>
      </c>
      <c r="F41" s="5" t="s">
        <v>33</v>
      </c>
      <c r="G41" s="5" t="s">
        <v>208</v>
      </c>
      <c r="H41" s="5" t="s">
        <v>93</v>
      </c>
      <c r="I41" s="5" t="s">
        <v>36</v>
      </c>
      <c r="J41" s="5">
        <v>0</v>
      </c>
      <c r="K41" s="5">
        <v>1</v>
      </c>
      <c r="L41" s="5">
        <v>13</v>
      </c>
      <c r="M41" s="5" t="s">
        <v>37</v>
      </c>
      <c r="N41" s="5">
        <v>1</v>
      </c>
      <c r="O41" s="5">
        <v>1</v>
      </c>
      <c r="P41" s="5">
        <v>0</v>
      </c>
      <c r="Q41" s="5" t="s">
        <v>94</v>
      </c>
      <c r="R41" s="5">
        <v>1</v>
      </c>
      <c r="S41" s="5">
        <v>2</v>
      </c>
      <c r="T41" s="5">
        <v>0</v>
      </c>
      <c r="U41" s="5"/>
      <c r="V41" s="5"/>
      <c r="W41" s="5"/>
      <c r="X41" s="5"/>
      <c r="Y41" s="6" t="s">
        <v>261</v>
      </c>
      <c r="Z41" s="6" t="s">
        <v>262</v>
      </c>
      <c r="AA41" s="5">
        <f>IF(OR(D41="Monster", E41="Basic"), 0, ROUND((MIN(IFERROR(VLOOKUP(G41, Relic_Price_Config!$A$5:$E$9, 4, FALSE), 350), MAX(IFERROR(VLOOKUP(G41, Relic_Price_Config!$A$5:$E$9, 3, FALSE), 210), ROUND((IFERROR(VLOOKUP(H41, Relic_Price_Config!$G$5:$N$100, 4, FALSE), 280) + N(L41) * IF(N(O41)&gt;1, N(O41), 1) * IFERROR(VLOOKUP(H41, Relic_Price_Config!$G$5:$N$100, 5, FALSE), 10) + ABS(N(R41)) * IFERROR(VLOOKUP(H41, Relic_Price_Config!$G$5:$N$100, 6, FALSE), 15) + IF(N(S41)&gt;1, (N(S41)-1)*10, 0)) * IFERROR(VLOOKUP(G41, Relic_Price_Config!$A$5:$E$9, 2, FALSE), 1), 0))) * 0.1) / 5, 0) * 5)</f>
        <v>55</v>
      </c>
      <c r="AB41" s="5">
        <f t="shared" si="0"/>
        <v>40</v>
      </c>
    </row>
    <row r="42" spans="1:28" ht="24">
      <c r="A42" s="2" t="s">
        <v>263</v>
      </c>
      <c r="B42" s="2" t="s">
        <v>264</v>
      </c>
      <c r="C42" s="3" t="s">
        <v>265</v>
      </c>
      <c r="D42" s="2" t="s">
        <v>31</v>
      </c>
      <c r="E42" s="2" t="s">
        <v>115</v>
      </c>
      <c r="F42" s="2" t="s">
        <v>33</v>
      </c>
      <c r="G42" s="2" t="s">
        <v>208</v>
      </c>
      <c r="H42" s="2" t="s">
        <v>174</v>
      </c>
      <c r="I42" s="2" t="s">
        <v>108</v>
      </c>
      <c r="J42" s="2">
        <v>0</v>
      </c>
      <c r="K42" s="2">
        <v>1</v>
      </c>
      <c r="L42" s="2">
        <v>4</v>
      </c>
      <c r="M42" s="2" t="s">
        <v>37</v>
      </c>
      <c r="N42" s="2">
        <v>1</v>
      </c>
      <c r="O42" s="2">
        <v>3</v>
      </c>
      <c r="P42" s="2">
        <v>0</v>
      </c>
      <c r="Q42" s="2"/>
      <c r="R42" s="2">
        <v>0</v>
      </c>
      <c r="S42" s="2">
        <v>0</v>
      </c>
      <c r="T42" s="2">
        <v>0</v>
      </c>
      <c r="U42" s="2"/>
      <c r="V42" s="2"/>
      <c r="W42" s="2"/>
      <c r="X42" s="2"/>
      <c r="Y42" s="3" t="s">
        <v>266</v>
      </c>
      <c r="Z42" s="3" t="s">
        <v>262</v>
      </c>
      <c r="AA42" s="2">
        <f>IF(OR(D42="Monster", E42="Basic"), 0, ROUND((MIN(IFERROR(VLOOKUP(G42, Relic_Price_Config!$A$5:$E$9, 4, FALSE), 350), MAX(IFERROR(VLOOKUP(G42, Relic_Price_Config!$A$5:$E$9, 3, FALSE), 210), ROUND((IFERROR(VLOOKUP(H42, Relic_Price_Config!$G$5:$N$100, 4, FALSE), 280) + N(L42) * IF(N(O42)&gt;1, N(O42), 1) * IFERROR(VLOOKUP(H42, Relic_Price_Config!$G$5:$N$100, 5, FALSE), 10) + ABS(N(R42)) * IFERROR(VLOOKUP(H42, Relic_Price_Config!$G$5:$N$100, 6, FALSE), 15) + IF(N(S42)&gt;1, (N(S42)-1)*10, 0)) * IFERROR(VLOOKUP(G42, Relic_Price_Config!$A$5:$E$9, 2, FALSE), 1), 0))) * 0.1) / 5, 0) * 5)</f>
        <v>50</v>
      </c>
      <c r="AB42" s="2">
        <f t="shared" si="0"/>
        <v>35</v>
      </c>
    </row>
    <row r="43" spans="1:28" ht="24" customHeight="1">
      <c r="A43" s="5" t="s">
        <v>267</v>
      </c>
      <c r="B43" s="5" t="s">
        <v>268</v>
      </c>
      <c r="C43" s="9" t="s">
        <v>269</v>
      </c>
      <c r="D43" s="5" t="s">
        <v>31</v>
      </c>
      <c r="E43" s="2" t="s">
        <v>115</v>
      </c>
      <c r="F43" s="5" t="s">
        <v>33</v>
      </c>
      <c r="G43" s="5" t="s">
        <v>208</v>
      </c>
      <c r="H43" s="5" t="s">
        <v>179</v>
      </c>
      <c r="I43" s="5" t="s">
        <v>36</v>
      </c>
      <c r="J43" s="5">
        <v>0</v>
      </c>
      <c r="K43" s="5">
        <v>1</v>
      </c>
      <c r="L43" s="5">
        <v>12</v>
      </c>
      <c r="M43" s="5" t="s">
        <v>37</v>
      </c>
      <c r="N43" s="5">
        <v>1</v>
      </c>
      <c r="O43" s="5">
        <v>1</v>
      </c>
      <c r="P43" s="5">
        <v>0</v>
      </c>
      <c r="Q43" s="5" t="s">
        <v>180</v>
      </c>
      <c r="R43" s="5">
        <v>3</v>
      </c>
      <c r="S43" s="5">
        <v>2</v>
      </c>
      <c r="T43" s="5">
        <v>0</v>
      </c>
      <c r="U43" s="5"/>
      <c r="V43" s="5"/>
      <c r="W43" s="5"/>
      <c r="X43" s="5"/>
      <c r="Y43" s="6" t="s">
        <v>270</v>
      </c>
      <c r="Z43" s="6" t="s">
        <v>262</v>
      </c>
      <c r="AA43" s="5">
        <f>IF(OR(D43="Monster", E43="Basic"), 0, ROUND((MIN(IFERROR(VLOOKUP(G43, Relic_Price_Config!$A$5:$E$9, 4, FALSE), 350), MAX(IFERROR(VLOOKUP(G43, Relic_Price_Config!$A$5:$E$9, 3, FALSE), 210), ROUND((IFERROR(VLOOKUP(H43, Relic_Price_Config!$G$5:$N$100, 4, FALSE), 280) + N(L43) * IF(N(O43)&gt;1, N(O43), 1) * IFERROR(VLOOKUP(H43, Relic_Price_Config!$G$5:$N$100, 5, FALSE), 10) + ABS(N(R43)) * IFERROR(VLOOKUP(H43, Relic_Price_Config!$G$5:$N$100, 6, FALSE), 15) + IF(N(S43)&gt;1, (N(S43)-1)*10, 0)) * IFERROR(VLOOKUP(G43, Relic_Price_Config!$A$5:$E$9, 2, FALSE), 1), 0))) * 0.1) / 5, 0) * 5)</f>
        <v>55</v>
      </c>
      <c r="AB43" s="5">
        <f t="shared" si="0"/>
        <v>40</v>
      </c>
    </row>
    <row r="44" spans="1:28" ht="24" customHeight="1">
      <c r="A44" s="2" t="s">
        <v>271</v>
      </c>
      <c r="B44" s="2" t="s">
        <v>272</v>
      </c>
      <c r="C44" s="3" t="s">
        <v>273</v>
      </c>
      <c r="D44" s="2" t="s">
        <v>31</v>
      </c>
      <c r="E44" s="2" t="s">
        <v>115</v>
      </c>
      <c r="F44" s="2" t="s">
        <v>51</v>
      </c>
      <c r="G44" s="2" t="s">
        <v>208</v>
      </c>
      <c r="H44" s="2" t="s">
        <v>185</v>
      </c>
      <c r="I44" s="2" t="s">
        <v>45</v>
      </c>
      <c r="J44" s="2">
        <v>0</v>
      </c>
      <c r="K44" s="2">
        <v>1</v>
      </c>
      <c r="L44" s="2">
        <v>0</v>
      </c>
      <c r="M44" s="2"/>
      <c r="N44" s="2">
        <v>0</v>
      </c>
      <c r="O44" s="2">
        <v>1</v>
      </c>
      <c r="P44" s="2">
        <v>0</v>
      </c>
      <c r="Q44" s="2" t="s">
        <v>71</v>
      </c>
      <c r="R44" s="2">
        <v>3</v>
      </c>
      <c r="S44" s="2">
        <v>2</v>
      </c>
      <c r="T44" s="2">
        <v>4</v>
      </c>
      <c r="U44" s="2"/>
      <c r="V44" s="2"/>
      <c r="W44" s="2"/>
      <c r="X44" s="2"/>
      <c r="Y44" s="3" t="s">
        <v>274</v>
      </c>
      <c r="Z44" s="3" t="s">
        <v>275</v>
      </c>
      <c r="AA44" s="2">
        <f>IF(OR(D44="Monster", E44="Basic"), 0, ROUND((MIN(IFERROR(VLOOKUP(G44, Relic_Price_Config!$A$5:$E$9, 4, FALSE), 350), MAX(IFERROR(VLOOKUP(G44, Relic_Price_Config!$A$5:$E$9, 3, FALSE), 210), ROUND((IFERROR(VLOOKUP(H44, Relic_Price_Config!$G$5:$N$100, 4, FALSE), 280) + N(L44) * IF(N(O44)&gt;1, N(O44), 1) * IFERROR(VLOOKUP(H44, Relic_Price_Config!$G$5:$N$100, 5, FALSE), 10) + ABS(N(R44)) * IFERROR(VLOOKUP(H44, Relic_Price_Config!$G$5:$N$100, 6, FALSE), 15) + IF(N(S44)&gt;1, (N(S44)-1)*10, 0)) * IFERROR(VLOOKUP(G44, Relic_Price_Config!$A$5:$E$9, 2, FALSE), 1), 0))) * 0.1) / 5, 0) * 5)</f>
        <v>50</v>
      </c>
      <c r="AB44" s="2">
        <f t="shared" si="0"/>
        <v>35</v>
      </c>
    </row>
    <row r="45" spans="1:28" ht="36" customHeight="1">
      <c r="A45" s="5" t="s">
        <v>276</v>
      </c>
      <c r="B45" s="5" t="s">
        <v>277</v>
      </c>
      <c r="C45" s="9" t="s">
        <v>278</v>
      </c>
      <c r="D45" s="5" t="s">
        <v>31</v>
      </c>
      <c r="E45" s="2" t="s">
        <v>115</v>
      </c>
      <c r="F45" s="5" t="s">
        <v>33</v>
      </c>
      <c r="G45" s="5" t="s">
        <v>208</v>
      </c>
      <c r="H45" s="5" t="s">
        <v>279</v>
      </c>
      <c r="I45" s="5" t="s">
        <v>36</v>
      </c>
      <c r="J45" s="5">
        <v>0</v>
      </c>
      <c r="K45" s="5">
        <v>1</v>
      </c>
      <c r="L45" s="5">
        <v>7</v>
      </c>
      <c r="M45" s="5" t="s">
        <v>37</v>
      </c>
      <c r="N45" s="5">
        <v>1</v>
      </c>
      <c r="O45" s="5">
        <v>2</v>
      </c>
      <c r="P45" s="5">
        <v>3</v>
      </c>
      <c r="Q45" s="5" t="s">
        <v>19</v>
      </c>
      <c r="R45" s="5">
        <v>3</v>
      </c>
      <c r="S45" s="5">
        <v>0</v>
      </c>
      <c r="T45" s="5">
        <v>3</v>
      </c>
      <c r="U45" s="5"/>
      <c r="V45" s="5"/>
      <c r="W45" s="5"/>
      <c r="X45" s="5"/>
      <c r="Y45" s="6" t="s">
        <v>280</v>
      </c>
      <c r="Z45" s="6" t="s">
        <v>281</v>
      </c>
      <c r="AA45" s="5">
        <f>IF(OR(D45="Monster", E45="Basic"), 0, ROUND((MIN(IFERROR(VLOOKUP(G45, Relic_Price_Config!$A$5:$E$9, 4, FALSE), 350), MAX(IFERROR(VLOOKUP(G45, Relic_Price_Config!$A$5:$E$9, 3, FALSE), 210), ROUND((IFERROR(VLOOKUP(H45, Relic_Price_Config!$G$5:$N$100, 4, FALSE), 280) + N(L45) * IF(N(O45)&gt;1, N(O45), 1) * IFERROR(VLOOKUP(H45, Relic_Price_Config!$G$5:$N$100, 5, FALSE), 10) + ABS(N(R45)) * IFERROR(VLOOKUP(H45, Relic_Price_Config!$G$5:$N$100, 6, FALSE), 15) + IF(N(S45)&gt;1, (N(S45)-1)*10, 0)) * IFERROR(VLOOKUP(G45, Relic_Price_Config!$A$5:$E$9, 2, FALSE), 1), 0))) * 0.1) / 5, 0) * 5)</f>
        <v>50</v>
      </c>
      <c r="AB45" s="5">
        <f t="shared" si="0"/>
        <v>35</v>
      </c>
    </row>
    <row r="46" spans="1:28" ht="36" customHeight="1">
      <c r="A46" s="2" t="s">
        <v>282</v>
      </c>
      <c r="B46" s="2" t="s">
        <v>283</v>
      </c>
      <c r="C46" s="3" t="s">
        <v>284</v>
      </c>
      <c r="D46" s="2" t="s">
        <v>31</v>
      </c>
      <c r="E46" s="2" t="s">
        <v>115</v>
      </c>
      <c r="F46" s="2" t="s">
        <v>33</v>
      </c>
      <c r="G46" s="2" t="s">
        <v>208</v>
      </c>
      <c r="H46" s="2" t="s">
        <v>197</v>
      </c>
      <c r="I46" s="2" t="s">
        <v>108</v>
      </c>
      <c r="J46" s="2">
        <v>0</v>
      </c>
      <c r="K46" s="2">
        <v>1</v>
      </c>
      <c r="L46" s="2">
        <v>12</v>
      </c>
      <c r="M46" s="2" t="s">
        <v>37</v>
      </c>
      <c r="N46" s="2">
        <v>1</v>
      </c>
      <c r="O46" s="2">
        <v>1</v>
      </c>
      <c r="P46" s="2">
        <v>3</v>
      </c>
      <c r="Q46" s="2" t="s">
        <v>19</v>
      </c>
      <c r="R46" s="2">
        <v>4</v>
      </c>
      <c r="S46" s="2">
        <v>0</v>
      </c>
      <c r="T46" s="2">
        <v>4</v>
      </c>
      <c r="U46" s="2"/>
      <c r="V46" s="2"/>
      <c r="W46" s="2"/>
      <c r="X46" s="2"/>
      <c r="Y46" s="3" t="s">
        <v>285</v>
      </c>
      <c r="Z46" s="3" t="s">
        <v>286</v>
      </c>
      <c r="AA46" s="2">
        <f>IF(OR(D46="Monster", E46="Basic"), 0, ROUND((MIN(IFERROR(VLOOKUP(G46, Relic_Price_Config!$A$5:$E$9, 4, FALSE), 350), MAX(IFERROR(VLOOKUP(G46, Relic_Price_Config!$A$5:$E$9, 3, FALSE), 210), ROUND((IFERROR(VLOOKUP(H46, Relic_Price_Config!$G$5:$N$100, 4, FALSE), 280) + N(L46) * IF(N(O46)&gt;1, N(O46), 1) * IFERROR(VLOOKUP(H46, Relic_Price_Config!$G$5:$N$100, 5, FALSE), 10) + ABS(N(R46)) * IFERROR(VLOOKUP(H46, Relic_Price_Config!$G$5:$N$100, 6, FALSE), 15) + IF(N(S46)&gt;1, (N(S46)-1)*10, 0)) * IFERROR(VLOOKUP(G46, Relic_Price_Config!$A$5:$E$9, 2, FALSE), 1), 0))) * 0.1) / 5, 0) * 5)</f>
        <v>50</v>
      </c>
      <c r="AB46" s="2">
        <f t="shared" si="0"/>
        <v>35</v>
      </c>
    </row>
    <row r="47" spans="1:28" ht="24" customHeight="1">
      <c r="A47" s="5" t="s">
        <v>287</v>
      </c>
      <c r="B47" s="5" t="s">
        <v>288</v>
      </c>
      <c r="C47" s="9" t="s">
        <v>289</v>
      </c>
      <c r="D47" s="5" t="s">
        <v>31</v>
      </c>
      <c r="E47" s="2" t="s">
        <v>115</v>
      </c>
      <c r="F47" s="5" t="s">
        <v>33</v>
      </c>
      <c r="G47" s="5" t="s">
        <v>208</v>
      </c>
      <c r="H47" s="5" t="s">
        <v>191</v>
      </c>
      <c r="I47" s="5" t="s">
        <v>36</v>
      </c>
      <c r="J47" s="5">
        <v>0</v>
      </c>
      <c r="K47" s="5">
        <v>1</v>
      </c>
      <c r="L47" s="5">
        <v>22</v>
      </c>
      <c r="M47" s="5" t="s">
        <v>37</v>
      </c>
      <c r="N47" s="5">
        <v>1</v>
      </c>
      <c r="O47" s="5">
        <v>1</v>
      </c>
      <c r="P47" s="5">
        <v>9</v>
      </c>
      <c r="Q47" s="5" t="s">
        <v>19</v>
      </c>
      <c r="R47" s="5">
        <v>6</v>
      </c>
      <c r="S47" s="5">
        <v>0</v>
      </c>
      <c r="T47" s="5">
        <v>6</v>
      </c>
      <c r="U47" s="5"/>
      <c r="V47" s="5"/>
      <c r="W47" s="5"/>
      <c r="X47" s="5"/>
      <c r="Y47" s="6" t="s">
        <v>290</v>
      </c>
      <c r="Z47" s="6" t="s">
        <v>291</v>
      </c>
      <c r="AA47" s="5">
        <f>IF(OR(D47="Monster", E47="Basic"), 0, ROUND((MIN(IFERROR(VLOOKUP(G47, Relic_Price_Config!$A$5:$E$9, 4, FALSE), 350), MAX(IFERROR(VLOOKUP(G47, Relic_Price_Config!$A$5:$E$9, 3, FALSE), 210), ROUND((IFERROR(VLOOKUP(H47, Relic_Price_Config!$G$5:$N$100, 4, FALSE), 280) + N(L47) * IF(N(O47)&gt;1, N(O47), 1) * IFERROR(VLOOKUP(H47, Relic_Price_Config!$G$5:$N$100, 5, FALSE), 10) + ABS(N(R47)) * IFERROR(VLOOKUP(H47, Relic_Price_Config!$G$5:$N$100, 6, FALSE), 15) + IF(N(S47)&gt;1, (N(S47)-1)*10, 0)) * IFERROR(VLOOKUP(G47, Relic_Price_Config!$A$5:$E$9, 2, FALSE), 1), 0))) * 0.1) / 5, 0) * 5)</f>
        <v>55</v>
      </c>
      <c r="AB47" s="5">
        <f t="shared" si="0"/>
        <v>40</v>
      </c>
    </row>
    <row r="48" spans="1:28" ht="24">
      <c r="A48" s="2" t="s">
        <v>292</v>
      </c>
      <c r="B48" s="2" t="s">
        <v>293</v>
      </c>
      <c r="C48" s="3" t="s">
        <v>294</v>
      </c>
      <c r="D48" s="2" t="s">
        <v>31</v>
      </c>
      <c r="E48" s="2" t="s">
        <v>115</v>
      </c>
      <c r="F48" s="2" t="s">
        <v>51</v>
      </c>
      <c r="G48" s="2" t="s">
        <v>295</v>
      </c>
      <c r="H48" s="2" t="s">
        <v>70</v>
      </c>
      <c r="I48" s="2" t="s">
        <v>45</v>
      </c>
      <c r="J48" s="2">
        <v>0</v>
      </c>
      <c r="K48" s="2">
        <v>1</v>
      </c>
      <c r="L48" s="2">
        <v>0</v>
      </c>
      <c r="M48" s="2"/>
      <c r="N48" s="2">
        <v>0</v>
      </c>
      <c r="O48" s="2">
        <v>1</v>
      </c>
      <c r="P48" s="2">
        <v>0</v>
      </c>
      <c r="Q48" s="2" t="s">
        <v>71</v>
      </c>
      <c r="R48" s="2">
        <v>3</v>
      </c>
      <c r="S48" s="2">
        <v>-1</v>
      </c>
      <c r="T48" s="2">
        <v>0</v>
      </c>
      <c r="U48" s="2"/>
      <c r="V48" s="2"/>
      <c r="W48" s="2"/>
      <c r="X48" s="2"/>
      <c r="Y48" s="3" t="s">
        <v>296</v>
      </c>
      <c r="Z48" s="3" t="s">
        <v>297</v>
      </c>
      <c r="AA48" s="2">
        <f>IF(OR(D48="Monster", E48="Basic"), 0, ROUND((MIN(IFERROR(VLOOKUP(G48, Relic_Price_Config!$A$5:$E$9, 4, FALSE), 350), MAX(IFERROR(VLOOKUP(G48, Relic_Price_Config!$A$5:$E$9, 3, FALSE), 210), ROUND((IFERROR(VLOOKUP(H48, Relic_Price_Config!$G$5:$N$100, 4, FALSE), 280) + N(L48) * IF(N(O48)&gt;1, N(O48), 1) * IFERROR(VLOOKUP(H48, Relic_Price_Config!$G$5:$N$100, 5, FALSE), 10) + ABS(N(R48)) * IFERROR(VLOOKUP(H48, Relic_Price_Config!$G$5:$N$100, 6, FALSE), 15) + IF(N(S48)&gt;1, (N(S48)-1)*10, 0)) * IFERROR(VLOOKUP(G48, Relic_Price_Config!$A$5:$E$9, 2, FALSE), 1), 0))) * 0.1) / 5, 0) * 5)</f>
        <v>70</v>
      </c>
      <c r="AB48" s="2">
        <f t="shared" si="0"/>
        <v>50</v>
      </c>
    </row>
    <row r="49" spans="1:28" ht="24" customHeight="1">
      <c r="A49" s="5" t="s">
        <v>298</v>
      </c>
      <c r="B49" s="5" t="s">
        <v>299</v>
      </c>
      <c r="C49" s="9" t="s">
        <v>300</v>
      </c>
      <c r="D49" s="5" t="s">
        <v>31</v>
      </c>
      <c r="E49" s="2" t="s">
        <v>115</v>
      </c>
      <c r="F49" s="5" t="s">
        <v>43</v>
      </c>
      <c r="G49" s="5" t="s">
        <v>295</v>
      </c>
      <c r="H49" s="5" t="s">
        <v>214</v>
      </c>
      <c r="I49" s="5" t="s">
        <v>45</v>
      </c>
      <c r="J49" s="5">
        <v>0</v>
      </c>
      <c r="K49" s="5">
        <v>1</v>
      </c>
      <c r="L49" s="5">
        <v>15</v>
      </c>
      <c r="M49" s="5" t="s">
        <v>46</v>
      </c>
      <c r="N49" s="5">
        <v>1</v>
      </c>
      <c r="O49" s="5">
        <v>1</v>
      </c>
      <c r="P49" s="5">
        <v>0</v>
      </c>
      <c r="Q49" s="5" t="s">
        <v>101</v>
      </c>
      <c r="R49" s="5">
        <v>2</v>
      </c>
      <c r="S49" s="5">
        <v>2</v>
      </c>
      <c r="T49" s="5">
        <v>0</v>
      </c>
      <c r="U49" s="5"/>
      <c r="V49" s="5"/>
      <c r="W49" s="5"/>
      <c r="X49" s="5"/>
      <c r="Y49" s="6" t="s">
        <v>301</v>
      </c>
      <c r="Z49" s="6" t="s">
        <v>297</v>
      </c>
      <c r="AA49" s="5">
        <f>IF(OR(D49="Monster", E49="Basic"), 0, ROUND((MIN(IFERROR(VLOOKUP(G49, Relic_Price_Config!$A$5:$E$9, 4, FALSE), 350), MAX(IFERROR(VLOOKUP(G49, Relic_Price_Config!$A$5:$E$9, 3, FALSE), 210), ROUND((IFERROR(VLOOKUP(H49, Relic_Price_Config!$G$5:$N$100, 4, FALSE), 280) + N(L49) * IF(N(O49)&gt;1, N(O49), 1) * IFERROR(VLOOKUP(H49, Relic_Price_Config!$G$5:$N$100, 5, FALSE), 10) + ABS(N(R49)) * IFERROR(VLOOKUP(H49, Relic_Price_Config!$G$5:$N$100, 6, FALSE), 15) + IF(N(S49)&gt;1, (N(S49)-1)*10, 0)) * IFERROR(VLOOKUP(G49, Relic_Price_Config!$A$5:$E$9, 2, FALSE), 1), 0))) * 0.1) / 5, 0) * 5)</f>
        <v>70</v>
      </c>
      <c r="AB49" s="5">
        <f t="shared" si="0"/>
        <v>50</v>
      </c>
    </row>
    <row r="50" spans="1:28" ht="24">
      <c r="A50" s="2" t="s">
        <v>302</v>
      </c>
      <c r="B50" s="2" t="s">
        <v>303</v>
      </c>
      <c r="C50" s="3" t="s">
        <v>304</v>
      </c>
      <c r="D50" s="2" t="s">
        <v>31</v>
      </c>
      <c r="E50" s="2" t="s">
        <v>115</v>
      </c>
      <c r="F50" s="2" t="s">
        <v>33</v>
      </c>
      <c r="G50" s="2" t="s">
        <v>295</v>
      </c>
      <c r="H50" s="2" t="s">
        <v>35</v>
      </c>
      <c r="I50" s="2" t="s">
        <v>36</v>
      </c>
      <c r="J50" s="2">
        <v>0</v>
      </c>
      <c r="K50" s="2">
        <v>1</v>
      </c>
      <c r="L50" s="2">
        <v>5</v>
      </c>
      <c r="M50" s="2" t="s">
        <v>37</v>
      </c>
      <c r="N50" s="2">
        <v>1</v>
      </c>
      <c r="O50" s="2">
        <v>5</v>
      </c>
      <c r="P50" s="2">
        <v>0</v>
      </c>
      <c r="Q50" s="2"/>
      <c r="R50" s="2">
        <v>0</v>
      </c>
      <c r="S50" s="2">
        <v>0</v>
      </c>
      <c r="T50" s="2">
        <v>0</v>
      </c>
      <c r="U50" s="2"/>
      <c r="V50" s="2"/>
      <c r="W50" s="2"/>
      <c r="X50" s="2"/>
      <c r="Y50" s="3" t="s">
        <v>305</v>
      </c>
      <c r="Z50" s="3" t="s">
        <v>297</v>
      </c>
      <c r="AA50" s="2">
        <f>IF(OR(D50="Monster", E50="Basic"), 0, ROUND((MIN(IFERROR(VLOOKUP(G50, Relic_Price_Config!$A$5:$E$9, 4, FALSE), 350), MAX(IFERROR(VLOOKUP(G50, Relic_Price_Config!$A$5:$E$9, 3, FALSE), 210), ROUND((IFERROR(VLOOKUP(H50, Relic_Price_Config!$G$5:$N$100, 4, FALSE), 280) + N(L50) * IF(N(O50)&gt;1, N(O50), 1) * IFERROR(VLOOKUP(H50, Relic_Price_Config!$G$5:$N$100, 5, FALSE), 10) + ABS(N(R50)) * IFERROR(VLOOKUP(H50, Relic_Price_Config!$G$5:$N$100, 6, FALSE), 15) + IF(N(S50)&gt;1, (N(S50)-1)*10, 0)) * IFERROR(VLOOKUP(G50, Relic_Price_Config!$A$5:$E$9, 2, FALSE), 1), 0))) * 0.1) / 5, 0) * 5)</f>
        <v>70</v>
      </c>
      <c r="AB50" s="2">
        <f t="shared" si="0"/>
        <v>50</v>
      </c>
    </row>
    <row r="51" spans="1:28" ht="24" customHeight="1">
      <c r="A51" s="5" t="s">
        <v>306</v>
      </c>
      <c r="B51" s="5" t="s">
        <v>307</v>
      </c>
      <c r="C51" s="9" t="s">
        <v>308</v>
      </c>
      <c r="D51" s="5" t="s">
        <v>31</v>
      </c>
      <c r="E51" s="2" t="s">
        <v>115</v>
      </c>
      <c r="F51" s="5" t="s">
        <v>33</v>
      </c>
      <c r="G51" s="5" t="s">
        <v>295</v>
      </c>
      <c r="H51" s="5" t="s">
        <v>309</v>
      </c>
      <c r="I51" s="5" t="s">
        <v>108</v>
      </c>
      <c r="J51" s="5">
        <v>0</v>
      </c>
      <c r="K51" s="5">
        <v>1</v>
      </c>
      <c r="L51" s="5">
        <v>15</v>
      </c>
      <c r="M51" s="5" t="s">
        <v>37</v>
      </c>
      <c r="N51" s="5">
        <v>1</v>
      </c>
      <c r="O51" s="5">
        <v>1</v>
      </c>
      <c r="P51" s="5">
        <v>0</v>
      </c>
      <c r="Q51" s="5" t="s">
        <v>130</v>
      </c>
      <c r="R51" s="5">
        <v>2</v>
      </c>
      <c r="S51" s="5">
        <v>2</v>
      </c>
      <c r="T51" s="5">
        <v>0</v>
      </c>
      <c r="U51" s="5"/>
      <c r="V51" s="5"/>
      <c r="W51" s="5"/>
      <c r="X51" s="5"/>
      <c r="Y51" s="6" t="s">
        <v>310</v>
      </c>
      <c r="Z51" s="6" t="s">
        <v>311</v>
      </c>
      <c r="AA51" s="5">
        <f>IF(OR(D51="Monster", E51="Basic"), 0, ROUND((MIN(IFERROR(VLOOKUP(G51, Relic_Price_Config!$A$5:$E$9, 4, FALSE), 350), MAX(IFERROR(VLOOKUP(G51, Relic_Price_Config!$A$5:$E$9, 3, FALSE), 210), ROUND((IFERROR(VLOOKUP(H51, Relic_Price_Config!$G$5:$N$100, 4, FALSE), 280) + N(L51) * IF(N(O51)&gt;1, N(O51), 1) * IFERROR(VLOOKUP(H51, Relic_Price_Config!$G$5:$N$100, 5, FALSE), 10) + ABS(N(R51)) * IFERROR(VLOOKUP(H51, Relic_Price_Config!$G$5:$N$100, 6, FALSE), 15) + IF(N(S51)&gt;1, (N(S51)-1)*10, 0)) * IFERROR(VLOOKUP(G51, Relic_Price_Config!$A$5:$E$9, 2, FALSE), 1), 0))) * 0.1) / 5, 0) * 5)</f>
        <v>70</v>
      </c>
      <c r="AB51" s="5">
        <f t="shared" si="0"/>
        <v>50</v>
      </c>
    </row>
    <row r="52" spans="1:28" ht="24" customHeight="1">
      <c r="A52" s="2" t="s">
        <v>312</v>
      </c>
      <c r="B52" s="2" t="s">
        <v>313</v>
      </c>
      <c r="C52" s="3" t="s">
        <v>314</v>
      </c>
      <c r="D52" s="2" t="s">
        <v>31</v>
      </c>
      <c r="E52" s="2" t="s">
        <v>115</v>
      </c>
      <c r="F52" s="2" t="s">
        <v>43</v>
      </c>
      <c r="G52" s="2" t="s">
        <v>295</v>
      </c>
      <c r="H52" s="2" t="s">
        <v>315</v>
      </c>
      <c r="I52" s="2" t="s">
        <v>45</v>
      </c>
      <c r="J52" s="2">
        <v>0</v>
      </c>
      <c r="K52" s="2">
        <v>1</v>
      </c>
      <c r="L52" s="2">
        <v>20</v>
      </c>
      <c r="M52" s="2" t="s">
        <v>46</v>
      </c>
      <c r="N52" s="2">
        <v>1</v>
      </c>
      <c r="O52" s="2">
        <v>1</v>
      </c>
      <c r="P52" s="2">
        <v>0</v>
      </c>
      <c r="Q52" s="2" t="s">
        <v>316</v>
      </c>
      <c r="R52" s="2">
        <v>3</v>
      </c>
      <c r="S52" s="2">
        <v>2</v>
      </c>
      <c r="T52" s="2">
        <v>0</v>
      </c>
      <c r="U52" s="2"/>
      <c r="V52" s="2"/>
      <c r="W52" s="2"/>
      <c r="X52" s="2"/>
      <c r="Y52" s="3" t="s">
        <v>317</v>
      </c>
      <c r="Z52" s="3" t="s">
        <v>311</v>
      </c>
      <c r="AA52" s="2">
        <f>IF(OR(D52="Monster", E52="Basic"), 0, ROUND((MIN(IFERROR(VLOOKUP(G52, Relic_Price_Config!$A$5:$E$9, 4, FALSE), 350), MAX(IFERROR(VLOOKUP(G52, Relic_Price_Config!$A$5:$E$9, 3, FALSE), 210), ROUND((IFERROR(VLOOKUP(H52, Relic_Price_Config!$G$5:$N$100, 4, FALSE), 280) + N(L52) * IF(N(O52)&gt;1, N(O52), 1) * IFERROR(VLOOKUP(H52, Relic_Price_Config!$G$5:$N$100, 5, FALSE), 10) + ABS(N(R52)) * IFERROR(VLOOKUP(H52, Relic_Price_Config!$G$5:$N$100, 6, FALSE), 15) + IF(N(S52)&gt;1, (N(S52)-1)*10, 0)) * IFERROR(VLOOKUP(G52, Relic_Price_Config!$A$5:$E$9, 2, FALSE), 1), 0))) * 0.1) / 5, 0) * 5)</f>
        <v>70</v>
      </c>
      <c r="AB52" s="2">
        <f t="shared" si="0"/>
        <v>50</v>
      </c>
    </row>
    <row r="53" spans="1:28" ht="24" customHeight="1">
      <c r="A53" s="5" t="s">
        <v>318</v>
      </c>
      <c r="B53" s="5" t="s">
        <v>319</v>
      </c>
      <c r="C53" s="9" t="s">
        <v>320</v>
      </c>
      <c r="D53" s="5" t="s">
        <v>31</v>
      </c>
      <c r="E53" s="2" t="s">
        <v>115</v>
      </c>
      <c r="F53" s="5" t="s">
        <v>33</v>
      </c>
      <c r="G53" s="5" t="s">
        <v>295</v>
      </c>
      <c r="H53" s="5" t="s">
        <v>321</v>
      </c>
      <c r="I53" s="5" t="s">
        <v>36</v>
      </c>
      <c r="J53" s="5">
        <v>0</v>
      </c>
      <c r="K53" s="5">
        <v>1</v>
      </c>
      <c r="L53" s="5">
        <v>17</v>
      </c>
      <c r="M53" s="5" t="s">
        <v>37</v>
      </c>
      <c r="N53" s="5">
        <v>1</v>
      </c>
      <c r="O53" s="5">
        <v>1</v>
      </c>
      <c r="P53" s="5">
        <v>12</v>
      </c>
      <c r="Q53" s="5" t="s">
        <v>322</v>
      </c>
      <c r="R53" s="5">
        <v>1</v>
      </c>
      <c r="S53" s="5">
        <v>1</v>
      </c>
      <c r="T53" s="5">
        <v>0</v>
      </c>
      <c r="U53" s="5"/>
      <c r="V53" s="5"/>
      <c r="W53" s="5"/>
      <c r="X53" s="5"/>
      <c r="Y53" s="6" t="s">
        <v>323</v>
      </c>
      <c r="Z53" s="6" t="s">
        <v>324</v>
      </c>
      <c r="AA53" s="5">
        <f>IF(OR(D53="Monster", E53="Basic"), 0, ROUND((MIN(IFERROR(VLOOKUP(G53, Relic_Price_Config!$A$5:$E$9, 4, FALSE), 350), MAX(IFERROR(VLOOKUP(G53, Relic_Price_Config!$A$5:$E$9, 3, FALSE), 210), ROUND((IFERROR(VLOOKUP(H53, Relic_Price_Config!$G$5:$N$100, 4, FALSE), 280) + N(L53) * IF(N(O53)&gt;1, N(O53), 1) * IFERROR(VLOOKUP(H53, Relic_Price_Config!$G$5:$N$100, 5, FALSE), 10) + ABS(N(R53)) * IFERROR(VLOOKUP(H53, Relic_Price_Config!$G$5:$N$100, 6, FALSE), 15) + IF(N(S53)&gt;1, (N(S53)-1)*10, 0)) * IFERROR(VLOOKUP(G53, Relic_Price_Config!$A$5:$E$9, 2, FALSE), 1), 0))) * 0.1) / 5, 0) * 5)</f>
        <v>70</v>
      </c>
      <c r="AB53" s="5">
        <f t="shared" si="0"/>
        <v>50</v>
      </c>
    </row>
    <row r="54" spans="1:28" ht="24" customHeight="1">
      <c r="A54" s="2" t="s">
        <v>325</v>
      </c>
      <c r="B54" s="2" t="s">
        <v>326</v>
      </c>
      <c r="C54" s="3" t="s">
        <v>327</v>
      </c>
      <c r="D54" s="2" t="s">
        <v>31</v>
      </c>
      <c r="E54" s="2" t="s">
        <v>115</v>
      </c>
      <c r="F54" s="2" t="s">
        <v>51</v>
      </c>
      <c r="G54" s="2" t="s">
        <v>295</v>
      </c>
      <c r="H54" s="2" t="s">
        <v>328</v>
      </c>
      <c r="I54" s="2" t="s">
        <v>45</v>
      </c>
      <c r="J54" s="2">
        <v>0</v>
      </c>
      <c r="K54" s="2">
        <v>1</v>
      </c>
      <c r="L54" s="2">
        <v>1</v>
      </c>
      <c r="M54" s="2"/>
      <c r="N54" s="2">
        <v>0</v>
      </c>
      <c r="O54" s="2">
        <v>1</v>
      </c>
      <c r="P54" s="2">
        <v>0</v>
      </c>
      <c r="Q54" s="2" t="s">
        <v>329</v>
      </c>
      <c r="R54" s="2">
        <v>1</v>
      </c>
      <c r="S54" s="2">
        <v>2</v>
      </c>
      <c r="T54" s="2">
        <v>0</v>
      </c>
      <c r="U54" s="2"/>
      <c r="V54" s="2"/>
      <c r="W54" s="2"/>
      <c r="X54" s="2"/>
      <c r="Y54" s="3" t="s">
        <v>330</v>
      </c>
      <c r="Z54" s="3" t="s">
        <v>331</v>
      </c>
      <c r="AA54" s="2">
        <f>IF(OR(D54="Monster", E54="Basic"), 0, ROUND((MIN(IFERROR(VLOOKUP(G54, Relic_Price_Config!$A$5:$E$9, 4, FALSE), 350), MAX(IFERROR(VLOOKUP(G54, Relic_Price_Config!$A$5:$E$9, 3, FALSE), 210), ROUND((IFERROR(VLOOKUP(H54, Relic_Price_Config!$G$5:$N$100, 4, FALSE), 280) + N(L54) * IF(N(O54)&gt;1, N(O54), 1) * IFERROR(VLOOKUP(H54, Relic_Price_Config!$G$5:$N$100, 5, FALSE), 10) + ABS(N(R54)) * IFERROR(VLOOKUP(H54, Relic_Price_Config!$G$5:$N$100, 6, FALSE), 15) + IF(N(S54)&gt;1, (N(S54)-1)*10, 0)) * IFERROR(VLOOKUP(G54, Relic_Price_Config!$A$5:$E$9, 2, FALSE), 1), 0))) * 0.1) / 5, 0) * 5)</f>
        <v>70</v>
      </c>
      <c r="AB54" s="2">
        <f t="shared" si="0"/>
        <v>50</v>
      </c>
    </row>
    <row r="55" spans="1:28" ht="27" customHeight="1">
      <c r="A55" s="5" t="s">
        <v>332</v>
      </c>
      <c r="B55" s="5" t="s">
        <v>333</v>
      </c>
      <c r="C55" s="9" t="s">
        <v>334</v>
      </c>
      <c r="D55" s="5" t="s">
        <v>31</v>
      </c>
      <c r="E55" s="2" t="s">
        <v>115</v>
      </c>
      <c r="F55" s="5" t="s">
        <v>33</v>
      </c>
      <c r="G55" s="5" t="s">
        <v>295</v>
      </c>
      <c r="H55" s="5" t="s">
        <v>335</v>
      </c>
      <c r="I55" s="5" t="s">
        <v>108</v>
      </c>
      <c r="J55" s="5">
        <v>0</v>
      </c>
      <c r="K55" s="5">
        <v>1</v>
      </c>
      <c r="L55" s="5">
        <v>16</v>
      </c>
      <c r="M55" s="5" t="s">
        <v>37</v>
      </c>
      <c r="N55" s="5">
        <v>1</v>
      </c>
      <c r="O55" s="5">
        <v>1</v>
      </c>
      <c r="P55" s="5">
        <v>10</v>
      </c>
      <c r="Q55" s="5"/>
      <c r="R55" s="5">
        <v>0</v>
      </c>
      <c r="S55" s="5">
        <v>0</v>
      </c>
      <c r="T55" s="5">
        <v>0</v>
      </c>
      <c r="U55" s="5"/>
      <c r="V55" s="5"/>
      <c r="W55" s="5"/>
      <c r="X55" s="5"/>
      <c r="Y55" s="6" t="s">
        <v>336</v>
      </c>
      <c r="Z55" s="6" t="s">
        <v>337</v>
      </c>
      <c r="AA55" s="5">
        <f>IF(OR(D55="Monster", E55="Basic"), 0, ROUND((MIN(IFERROR(VLOOKUP(G55, Relic_Price_Config!$A$5:$E$9, 4, FALSE), 350), MAX(IFERROR(VLOOKUP(G55, Relic_Price_Config!$A$5:$E$9, 3, FALSE), 210), ROUND((IFERROR(VLOOKUP(H55, Relic_Price_Config!$G$5:$N$100, 4, FALSE), 280) + N(L55) * IF(N(O55)&gt;1, N(O55), 1) * IFERROR(VLOOKUP(H55, Relic_Price_Config!$G$5:$N$100, 5, FALSE), 10) + ABS(N(R55)) * IFERROR(VLOOKUP(H55, Relic_Price_Config!$G$5:$N$100, 6, FALSE), 15) + IF(N(S55)&gt;1, (N(S55)-1)*10, 0)) * IFERROR(VLOOKUP(G55, Relic_Price_Config!$A$5:$E$9, 2, FALSE), 1), 0))) * 0.1) / 5, 0) * 5)</f>
        <v>70</v>
      </c>
      <c r="AB55" s="5">
        <f t="shared" si="0"/>
        <v>50</v>
      </c>
    </row>
    <row r="56" spans="1:28" ht="24" customHeight="1">
      <c r="A56" s="2" t="s">
        <v>338</v>
      </c>
      <c r="B56" s="2" t="s">
        <v>339</v>
      </c>
      <c r="C56" s="3" t="s">
        <v>340</v>
      </c>
      <c r="D56" s="2" t="s">
        <v>31</v>
      </c>
      <c r="E56" s="2" t="s">
        <v>115</v>
      </c>
      <c r="F56" s="2" t="s">
        <v>43</v>
      </c>
      <c r="G56" s="2" t="s">
        <v>295</v>
      </c>
      <c r="H56" s="2" t="s">
        <v>250</v>
      </c>
      <c r="I56" s="2" t="s">
        <v>45</v>
      </c>
      <c r="J56" s="2">
        <v>0</v>
      </c>
      <c r="K56" s="2">
        <v>1</v>
      </c>
      <c r="L56" s="2">
        <v>16</v>
      </c>
      <c r="M56" s="2" t="s">
        <v>46</v>
      </c>
      <c r="N56" s="2">
        <v>1</v>
      </c>
      <c r="O56" s="2">
        <v>1</v>
      </c>
      <c r="P56" s="2">
        <v>0</v>
      </c>
      <c r="Q56" s="2" t="s">
        <v>251</v>
      </c>
      <c r="R56" s="2">
        <v>30</v>
      </c>
      <c r="S56" s="2">
        <v>2</v>
      </c>
      <c r="T56" s="2">
        <v>0</v>
      </c>
      <c r="U56" s="2"/>
      <c r="V56" s="2"/>
      <c r="W56" s="2"/>
      <c r="X56" s="2"/>
      <c r="Y56" s="3" t="s">
        <v>341</v>
      </c>
      <c r="Z56" s="3" t="s">
        <v>331</v>
      </c>
      <c r="AA56" s="2">
        <f>IF(OR(D56="Monster", E56="Basic"), 0, ROUND((MIN(IFERROR(VLOOKUP(G56, Relic_Price_Config!$A$5:$E$9, 4, FALSE), 350), MAX(IFERROR(VLOOKUP(G56, Relic_Price_Config!$A$5:$E$9, 3, FALSE), 210), ROUND((IFERROR(VLOOKUP(H56, Relic_Price_Config!$G$5:$N$100, 4, FALSE), 280) + N(L56) * IF(N(O56)&gt;1, N(O56), 1) * IFERROR(VLOOKUP(H56, Relic_Price_Config!$G$5:$N$100, 5, FALSE), 10) + ABS(N(R56)) * IFERROR(VLOOKUP(H56, Relic_Price_Config!$G$5:$N$100, 6, FALSE), 15) + IF(N(S56)&gt;1, (N(S56)-1)*10, 0)) * IFERROR(VLOOKUP(G56, Relic_Price_Config!$A$5:$E$9, 2, FALSE), 1), 0))) * 0.1) / 5, 0) * 5)</f>
        <v>70</v>
      </c>
      <c r="AB56" s="2">
        <f t="shared" si="0"/>
        <v>50</v>
      </c>
    </row>
    <row r="57" spans="1:28" ht="24" customHeight="1">
      <c r="A57" s="5" t="s">
        <v>342</v>
      </c>
      <c r="B57" s="5" t="s">
        <v>343</v>
      </c>
      <c r="C57" s="9" t="s">
        <v>344</v>
      </c>
      <c r="D57" s="5" t="s">
        <v>31</v>
      </c>
      <c r="E57" s="2" t="s">
        <v>115</v>
      </c>
      <c r="F57" s="5" t="s">
        <v>43</v>
      </c>
      <c r="G57" s="5" t="s">
        <v>295</v>
      </c>
      <c r="H57" s="5" t="s">
        <v>52</v>
      </c>
      <c r="I57" s="5" t="s">
        <v>45</v>
      </c>
      <c r="J57" s="5">
        <v>0</v>
      </c>
      <c r="K57" s="5">
        <v>1</v>
      </c>
      <c r="L57" s="5">
        <v>16</v>
      </c>
      <c r="M57" s="5" t="s">
        <v>46</v>
      </c>
      <c r="N57" s="5">
        <v>1</v>
      </c>
      <c r="O57" s="5">
        <v>1</v>
      </c>
      <c r="P57" s="5">
        <v>6</v>
      </c>
      <c r="Q57" s="5" t="s">
        <v>53</v>
      </c>
      <c r="R57" s="5">
        <v>1</v>
      </c>
      <c r="S57" s="5">
        <v>2</v>
      </c>
      <c r="T57" s="5">
        <v>0</v>
      </c>
      <c r="U57" s="5"/>
      <c r="V57" s="5"/>
      <c r="W57" s="5"/>
      <c r="X57" s="5"/>
      <c r="Y57" s="6" t="s">
        <v>345</v>
      </c>
      <c r="Z57" s="6" t="s">
        <v>346</v>
      </c>
      <c r="AA57" s="5">
        <f>IF(OR(D57="Monster", E57="Basic"), 0, ROUND((MIN(IFERROR(VLOOKUP(G57, Relic_Price_Config!$A$5:$E$9, 4, FALSE), 350), MAX(IFERROR(VLOOKUP(G57, Relic_Price_Config!$A$5:$E$9, 3, FALSE), 210), ROUND((IFERROR(VLOOKUP(H57, Relic_Price_Config!$G$5:$N$100, 4, FALSE), 280) + N(L57) * IF(N(O57)&gt;1, N(O57), 1) * IFERROR(VLOOKUP(H57, Relic_Price_Config!$G$5:$N$100, 5, FALSE), 10) + ABS(N(R57)) * IFERROR(VLOOKUP(H57, Relic_Price_Config!$G$5:$N$100, 6, FALSE), 15) + IF(N(S57)&gt;1, (N(S57)-1)*10, 0)) * IFERROR(VLOOKUP(G57, Relic_Price_Config!$A$5:$E$9, 2, FALSE), 1), 0))) * 0.1) / 5, 0) * 5)</f>
        <v>70</v>
      </c>
      <c r="AB57" s="5">
        <f t="shared" si="0"/>
        <v>50</v>
      </c>
    </row>
    <row r="58" spans="1:28" ht="24" customHeight="1">
      <c r="A58" s="2" t="s">
        <v>347</v>
      </c>
      <c r="B58" s="2" t="s">
        <v>348</v>
      </c>
      <c r="C58" s="3" t="s">
        <v>349</v>
      </c>
      <c r="D58" s="2" t="s">
        <v>31</v>
      </c>
      <c r="E58" s="2" t="s">
        <v>115</v>
      </c>
      <c r="F58" s="2" t="s">
        <v>33</v>
      </c>
      <c r="G58" s="2" t="s">
        <v>295</v>
      </c>
      <c r="H58" s="2" t="s">
        <v>350</v>
      </c>
      <c r="I58" s="2" t="s">
        <v>108</v>
      </c>
      <c r="J58" s="2">
        <v>0</v>
      </c>
      <c r="K58" s="2">
        <v>1</v>
      </c>
      <c r="L58" s="2">
        <v>14</v>
      </c>
      <c r="M58" s="2" t="s">
        <v>37</v>
      </c>
      <c r="N58" s="2">
        <v>1</v>
      </c>
      <c r="O58" s="2">
        <v>1</v>
      </c>
      <c r="P58" s="2">
        <v>0</v>
      </c>
      <c r="Q58" s="2" t="s">
        <v>94</v>
      </c>
      <c r="R58" s="2">
        <v>1</v>
      </c>
      <c r="S58" s="2">
        <v>2</v>
      </c>
      <c r="T58" s="2">
        <v>0</v>
      </c>
      <c r="U58" s="2"/>
      <c r="V58" s="2"/>
      <c r="W58" s="2"/>
      <c r="X58" s="2"/>
      <c r="Y58" s="3" t="s">
        <v>351</v>
      </c>
      <c r="Z58" s="3" t="s">
        <v>352</v>
      </c>
      <c r="AA58" s="2">
        <f>IF(OR(D58="Monster", E58="Basic"), 0, ROUND((MIN(IFERROR(VLOOKUP(G58, Relic_Price_Config!$A$5:$E$9, 4, FALSE), 350), MAX(IFERROR(VLOOKUP(G58, Relic_Price_Config!$A$5:$E$9, 3, FALSE), 210), ROUND((IFERROR(VLOOKUP(H58, Relic_Price_Config!$G$5:$N$100, 4, FALSE), 280) + N(L58) * IF(N(O58)&gt;1, N(O58), 1) * IFERROR(VLOOKUP(H58, Relic_Price_Config!$G$5:$N$100, 5, FALSE), 10) + ABS(N(R58)) * IFERROR(VLOOKUP(H58, Relic_Price_Config!$G$5:$N$100, 6, FALSE), 15) + IF(N(S58)&gt;1, (N(S58)-1)*10, 0)) * IFERROR(VLOOKUP(G58, Relic_Price_Config!$A$5:$E$9, 2, FALSE), 1), 0))) * 0.1) / 5, 0) * 5)</f>
        <v>70</v>
      </c>
      <c r="AB58" s="2">
        <f t="shared" si="0"/>
        <v>50</v>
      </c>
    </row>
    <row r="59" spans="1:28" ht="24" customHeight="1">
      <c r="A59" s="5" t="s">
        <v>353</v>
      </c>
      <c r="B59" s="5" t="s">
        <v>354</v>
      </c>
      <c r="C59" s="9" t="s">
        <v>355</v>
      </c>
      <c r="D59" s="5" t="s">
        <v>31</v>
      </c>
      <c r="E59" s="2" t="s">
        <v>115</v>
      </c>
      <c r="F59" s="5" t="s">
        <v>33</v>
      </c>
      <c r="G59" s="5" t="s">
        <v>295</v>
      </c>
      <c r="H59" s="5" t="s">
        <v>356</v>
      </c>
      <c r="I59" s="5" t="s">
        <v>108</v>
      </c>
      <c r="J59" s="5">
        <v>0</v>
      </c>
      <c r="K59" s="5">
        <v>1</v>
      </c>
      <c r="L59" s="5">
        <v>15</v>
      </c>
      <c r="M59" s="5" t="s">
        <v>37</v>
      </c>
      <c r="N59" s="5">
        <v>1</v>
      </c>
      <c r="O59" s="5">
        <v>1</v>
      </c>
      <c r="P59" s="5">
        <v>0</v>
      </c>
      <c r="Q59" s="5" t="s">
        <v>357</v>
      </c>
      <c r="R59" s="5">
        <v>1</v>
      </c>
      <c r="S59" s="5">
        <v>2</v>
      </c>
      <c r="T59" s="5">
        <v>0</v>
      </c>
      <c r="U59" s="5"/>
      <c r="V59" s="5"/>
      <c r="W59" s="5"/>
      <c r="X59" s="5"/>
      <c r="Y59" s="6" t="s">
        <v>358</v>
      </c>
      <c r="Z59" s="6" t="s">
        <v>352</v>
      </c>
      <c r="AA59" s="5">
        <f>IF(OR(D59="Monster", E59="Basic"), 0, ROUND((MIN(IFERROR(VLOOKUP(G59, Relic_Price_Config!$A$5:$E$9, 4, FALSE), 350), MAX(IFERROR(VLOOKUP(G59, Relic_Price_Config!$A$5:$E$9, 3, FALSE), 210), ROUND((IFERROR(VLOOKUP(H59, Relic_Price_Config!$G$5:$N$100, 4, FALSE), 280) + N(L59) * IF(N(O59)&gt;1, N(O59), 1) * IFERROR(VLOOKUP(H59, Relic_Price_Config!$G$5:$N$100, 5, FALSE), 10) + ABS(N(R59)) * IFERROR(VLOOKUP(H59, Relic_Price_Config!$G$5:$N$100, 6, FALSE), 15) + IF(N(S59)&gt;1, (N(S59)-1)*10, 0)) * IFERROR(VLOOKUP(G59, Relic_Price_Config!$A$5:$E$9, 2, FALSE), 1), 0))) * 0.1) / 5, 0) * 5)</f>
        <v>70</v>
      </c>
      <c r="AB59" s="5">
        <f t="shared" si="0"/>
        <v>50</v>
      </c>
    </row>
    <row r="60" spans="1:28" ht="24" customHeight="1">
      <c r="A60" s="2" t="s">
        <v>359</v>
      </c>
      <c r="B60" s="2" t="s">
        <v>360</v>
      </c>
      <c r="C60" s="86" t="s">
        <v>361</v>
      </c>
      <c r="D60" s="2" t="s">
        <v>31</v>
      </c>
      <c r="E60" s="2" t="s">
        <v>115</v>
      </c>
      <c r="F60" s="2" t="s">
        <v>33</v>
      </c>
      <c r="G60" s="2" t="s">
        <v>295</v>
      </c>
      <c r="H60" s="2" t="s">
        <v>362</v>
      </c>
      <c r="I60" s="2" t="s">
        <v>108</v>
      </c>
      <c r="J60" s="2">
        <v>0</v>
      </c>
      <c r="K60" s="2">
        <v>1</v>
      </c>
      <c r="L60" s="2">
        <v>16</v>
      </c>
      <c r="M60" s="2" t="s">
        <v>37</v>
      </c>
      <c r="N60" s="2">
        <v>1</v>
      </c>
      <c r="O60" s="2">
        <v>1</v>
      </c>
      <c r="P60" s="2">
        <v>0</v>
      </c>
      <c r="Q60" s="2" t="s">
        <v>180</v>
      </c>
      <c r="R60" s="2">
        <v>4</v>
      </c>
      <c r="S60" s="2">
        <v>2</v>
      </c>
      <c r="T60" s="2">
        <v>0</v>
      </c>
      <c r="U60" s="2"/>
      <c r="V60" s="2"/>
      <c r="W60" s="2"/>
      <c r="X60" s="2"/>
      <c r="Y60" s="3" t="s">
        <v>363</v>
      </c>
      <c r="Z60" s="3" t="s">
        <v>352</v>
      </c>
      <c r="AA60" s="2">
        <f>IF(OR(D60="Monster", E60="Basic"), 0, ROUND((MIN(IFERROR(VLOOKUP(G60, Relic_Price_Config!$A$5:$E$9, 4, FALSE), 350), MAX(IFERROR(VLOOKUP(G60, Relic_Price_Config!$A$5:$E$9, 3, FALSE), 210), ROUND((IFERROR(VLOOKUP(H60, Relic_Price_Config!$G$5:$N$100, 4, FALSE), 280) + N(L60) * IF(N(O60)&gt;1, N(O60), 1) * IFERROR(VLOOKUP(H60, Relic_Price_Config!$G$5:$N$100, 5, FALSE), 10) + ABS(N(R60)) * IFERROR(VLOOKUP(H60, Relic_Price_Config!$G$5:$N$100, 6, FALSE), 15) + IF(N(S60)&gt;1, (N(S60)-1)*10, 0)) * IFERROR(VLOOKUP(G60, Relic_Price_Config!$A$5:$E$9, 2, FALSE), 1), 0))) * 0.1) / 5, 0) * 5)</f>
        <v>70</v>
      </c>
      <c r="AB60" s="2">
        <f t="shared" si="0"/>
        <v>50</v>
      </c>
    </row>
    <row r="61" spans="1:28" ht="24" customHeight="1">
      <c r="A61" s="5" t="s">
        <v>364</v>
      </c>
      <c r="B61" s="5" t="s">
        <v>365</v>
      </c>
      <c r="C61" s="9" t="s">
        <v>366</v>
      </c>
      <c r="D61" s="5" t="s">
        <v>31</v>
      </c>
      <c r="E61" s="2" t="s">
        <v>115</v>
      </c>
      <c r="F61" s="5" t="s">
        <v>51</v>
      </c>
      <c r="G61" s="5" t="s">
        <v>295</v>
      </c>
      <c r="H61" s="5" t="s">
        <v>185</v>
      </c>
      <c r="I61" s="5" t="s">
        <v>45</v>
      </c>
      <c r="J61" s="5">
        <v>0</v>
      </c>
      <c r="K61" s="5">
        <v>1</v>
      </c>
      <c r="L61" s="5">
        <v>0</v>
      </c>
      <c r="M61" s="5"/>
      <c r="N61" s="5">
        <v>0</v>
      </c>
      <c r="O61" s="5">
        <v>1</v>
      </c>
      <c r="P61" s="5">
        <v>0</v>
      </c>
      <c r="Q61" s="5" t="s">
        <v>71</v>
      </c>
      <c r="R61" s="5">
        <v>5</v>
      </c>
      <c r="S61" s="5">
        <v>2</v>
      </c>
      <c r="T61" s="5">
        <v>6</v>
      </c>
      <c r="U61" s="5"/>
      <c r="V61" s="5"/>
      <c r="W61" s="5"/>
      <c r="X61" s="5"/>
      <c r="Y61" s="6" t="s">
        <v>367</v>
      </c>
      <c r="Z61" s="6" t="s">
        <v>368</v>
      </c>
      <c r="AA61" s="5">
        <f>IF(OR(D61="Monster", E61="Basic"), 0, ROUND((MIN(IFERROR(VLOOKUP(G61, Relic_Price_Config!$A$5:$E$9, 4, FALSE), 350), MAX(IFERROR(VLOOKUP(G61, Relic_Price_Config!$A$5:$E$9, 3, FALSE), 210), ROUND((IFERROR(VLOOKUP(H61, Relic_Price_Config!$G$5:$N$100, 4, FALSE), 280) + N(L61) * IF(N(O61)&gt;1, N(O61), 1) * IFERROR(VLOOKUP(H61, Relic_Price_Config!$G$5:$N$100, 5, FALSE), 10) + ABS(N(R61)) * IFERROR(VLOOKUP(H61, Relic_Price_Config!$G$5:$N$100, 6, FALSE), 15) + IF(N(S61)&gt;1, (N(S61)-1)*10, 0)) * IFERROR(VLOOKUP(G61, Relic_Price_Config!$A$5:$E$9, 2, FALSE), 1), 0))) * 0.1) / 5, 0) * 5)</f>
        <v>70</v>
      </c>
      <c r="AB61" s="5">
        <f t="shared" si="0"/>
        <v>50</v>
      </c>
    </row>
    <row r="62" spans="1:28" ht="36" customHeight="1">
      <c r="A62" s="2" t="s">
        <v>369</v>
      </c>
      <c r="B62" s="2" t="s">
        <v>370</v>
      </c>
      <c r="C62" s="3" t="s">
        <v>371</v>
      </c>
      <c r="D62" s="2" t="s">
        <v>31</v>
      </c>
      <c r="E62" s="2" t="s">
        <v>115</v>
      </c>
      <c r="F62" s="2" t="s">
        <v>33</v>
      </c>
      <c r="G62" s="2" t="s">
        <v>295</v>
      </c>
      <c r="H62" s="2" t="s">
        <v>279</v>
      </c>
      <c r="I62" s="2" t="s">
        <v>36</v>
      </c>
      <c r="J62" s="2">
        <v>0</v>
      </c>
      <c r="K62" s="2">
        <v>1</v>
      </c>
      <c r="L62" s="2">
        <v>9</v>
      </c>
      <c r="M62" s="2" t="s">
        <v>37</v>
      </c>
      <c r="N62" s="2">
        <v>1</v>
      </c>
      <c r="O62" s="2">
        <v>3</v>
      </c>
      <c r="P62" s="2">
        <v>3</v>
      </c>
      <c r="Q62" s="2" t="s">
        <v>19</v>
      </c>
      <c r="R62" s="2">
        <v>5</v>
      </c>
      <c r="S62" s="2">
        <v>0</v>
      </c>
      <c r="T62" s="2">
        <v>5</v>
      </c>
      <c r="U62" s="2"/>
      <c r="V62" s="2"/>
      <c r="W62" s="2"/>
      <c r="X62" s="2"/>
      <c r="Y62" s="3" t="s">
        <v>372</v>
      </c>
      <c r="Z62" s="3" t="s">
        <v>373</v>
      </c>
      <c r="AA62" s="2">
        <f>IF(OR(D62="Monster", E62="Basic"), 0, ROUND((MIN(IFERROR(VLOOKUP(G62, Relic_Price_Config!$A$5:$E$9, 4, FALSE), 350), MAX(IFERROR(VLOOKUP(G62, Relic_Price_Config!$A$5:$E$9, 3, FALSE), 210), ROUND((IFERROR(VLOOKUP(H62, Relic_Price_Config!$G$5:$N$100, 4, FALSE), 280) + N(L62) * IF(N(O62)&gt;1, N(O62), 1) * IFERROR(VLOOKUP(H62, Relic_Price_Config!$G$5:$N$100, 5, FALSE), 10) + ABS(N(R62)) * IFERROR(VLOOKUP(H62, Relic_Price_Config!$G$5:$N$100, 6, FALSE), 15) + IF(N(S62)&gt;1, (N(S62)-1)*10, 0)) * IFERROR(VLOOKUP(G62, Relic_Price_Config!$A$5:$E$9, 2, FALSE), 1), 0))) * 0.1) / 5, 0) * 5)</f>
        <v>70</v>
      </c>
      <c r="AB62" s="2">
        <f t="shared" si="0"/>
        <v>50</v>
      </c>
    </row>
    <row r="63" spans="1:28" ht="36" customHeight="1">
      <c r="A63" s="5" t="s">
        <v>374</v>
      </c>
      <c r="B63" s="5" t="s">
        <v>375</v>
      </c>
      <c r="C63" s="9" t="s">
        <v>376</v>
      </c>
      <c r="D63" s="5" t="s">
        <v>31</v>
      </c>
      <c r="E63" s="2" t="s">
        <v>115</v>
      </c>
      <c r="F63" s="5" t="s">
        <v>33</v>
      </c>
      <c r="G63" s="5" t="s">
        <v>295</v>
      </c>
      <c r="H63" s="5" t="s">
        <v>197</v>
      </c>
      <c r="I63" s="5" t="s">
        <v>108</v>
      </c>
      <c r="J63" s="5">
        <v>0</v>
      </c>
      <c r="K63" s="5">
        <v>1</v>
      </c>
      <c r="L63" s="5">
        <v>18</v>
      </c>
      <c r="M63" s="5" t="s">
        <v>37</v>
      </c>
      <c r="N63" s="5">
        <v>1</v>
      </c>
      <c r="O63" s="5">
        <v>1</v>
      </c>
      <c r="P63" s="5">
        <v>4</v>
      </c>
      <c r="Q63" s="5" t="s">
        <v>19</v>
      </c>
      <c r="R63" s="5">
        <v>6</v>
      </c>
      <c r="S63" s="5">
        <v>0</v>
      </c>
      <c r="T63" s="5">
        <v>6</v>
      </c>
      <c r="U63" s="5"/>
      <c r="V63" s="5"/>
      <c r="W63" s="5"/>
      <c r="X63" s="5"/>
      <c r="Y63" s="6" t="s">
        <v>377</v>
      </c>
      <c r="Z63" s="6" t="s">
        <v>378</v>
      </c>
      <c r="AA63" s="5">
        <f>IF(OR(D63="Monster", E63="Basic"), 0, ROUND((MIN(IFERROR(VLOOKUP(G63, Relic_Price_Config!$A$5:$E$9, 4, FALSE), 350), MAX(IFERROR(VLOOKUP(G63, Relic_Price_Config!$A$5:$E$9, 3, FALSE), 210), ROUND((IFERROR(VLOOKUP(H63, Relic_Price_Config!$G$5:$N$100, 4, FALSE), 280) + N(L63) * IF(N(O63)&gt;1, N(O63), 1) * IFERROR(VLOOKUP(H63, Relic_Price_Config!$G$5:$N$100, 5, FALSE), 10) + ABS(N(R63)) * IFERROR(VLOOKUP(H63, Relic_Price_Config!$G$5:$N$100, 6, FALSE), 15) + IF(N(S63)&gt;1, (N(S63)-1)*10, 0)) * IFERROR(VLOOKUP(G63, Relic_Price_Config!$A$5:$E$9, 2, FALSE), 1), 0))) * 0.1) / 5, 0) * 5)</f>
        <v>70</v>
      </c>
      <c r="AB63" s="5">
        <f t="shared" si="0"/>
        <v>50</v>
      </c>
    </row>
    <row r="64" spans="1:28" ht="24" customHeight="1">
      <c r="A64" s="2" t="s">
        <v>379</v>
      </c>
      <c r="B64" s="2" t="s">
        <v>380</v>
      </c>
      <c r="C64" s="3" t="s">
        <v>381</v>
      </c>
      <c r="D64" s="2" t="s">
        <v>31</v>
      </c>
      <c r="E64" s="2" t="s">
        <v>115</v>
      </c>
      <c r="F64" s="2" t="s">
        <v>33</v>
      </c>
      <c r="G64" s="2" t="s">
        <v>295</v>
      </c>
      <c r="H64" s="2" t="s">
        <v>191</v>
      </c>
      <c r="I64" s="2" t="s">
        <v>36</v>
      </c>
      <c r="J64" s="2">
        <v>0</v>
      </c>
      <c r="K64" s="2">
        <v>1</v>
      </c>
      <c r="L64" s="2">
        <v>36</v>
      </c>
      <c r="M64" s="2" t="s">
        <v>37</v>
      </c>
      <c r="N64" s="2">
        <v>1</v>
      </c>
      <c r="O64" s="2">
        <v>1</v>
      </c>
      <c r="P64" s="2">
        <v>14</v>
      </c>
      <c r="Q64" s="2" t="s">
        <v>19</v>
      </c>
      <c r="R64" s="2">
        <v>10</v>
      </c>
      <c r="S64" s="2">
        <v>0</v>
      </c>
      <c r="T64" s="2">
        <v>10</v>
      </c>
      <c r="U64" s="2"/>
      <c r="V64" s="2"/>
      <c r="W64" s="2"/>
      <c r="X64" s="2"/>
      <c r="Y64" s="3" t="s">
        <v>382</v>
      </c>
      <c r="Z64" s="3" t="s">
        <v>383</v>
      </c>
      <c r="AA64" s="2">
        <f>IF(OR(D64="Monster", E64="Basic"), 0, ROUND((MIN(IFERROR(VLOOKUP(G64, Relic_Price_Config!$A$5:$E$9, 4, FALSE), 350), MAX(IFERROR(VLOOKUP(G64, Relic_Price_Config!$A$5:$E$9, 3, FALSE), 210), ROUND((IFERROR(VLOOKUP(H64, Relic_Price_Config!$G$5:$N$100, 4, FALSE), 280) + N(L64) * IF(N(O64)&gt;1, N(O64), 1) * IFERROR(VLOOKUP(H64, Relic_Price_Config!$G$5:$N$100, 5, FALSE), 10) + ABS(N(R64)) * IFERROR(VLOOKUP(H64, Relic_Price_Config!$G$5:$N$100, 6, FALSE), 15) + IF(N(S64)&gt;1, (N(S64)-1)*10, 0)) * IFERROR(VLOOKUP(G64, Relic_Price_Config!$A$5:$E$9, 2, FALSE), 1), 0))) * 0.1) / 5, 0) * 5)</f>
        <v>70</v>
      </c>
      <c r="AB64" s="2">
        <f t="shared" si="0"/>
        <v>50</v>
      </c>
    </row>
    <row r="65" spans="1:28" ht="27" customHeight="1">
      <c r="A65" s="2" t="s">
        <v>384</v>
      </c>
      <c r="B65" s="2" t="s">
        <v>385</v>
      </c>
      <c r="C65" s="3" t="s">
        <v>386</v>
      </c>
      <c r="D65" s="2" t="s">
        <v>59</v>
      </c>
      <c r="E65" s="2" t="s">
        <v>115</v>
      </c>
      <c r="F65" s="2" t="s">
        <v>33</v>
      </c>
      <c r="G65" s="2" t="s">
        <v>34</v>
      </c>
      <c r="H65" s="2" t="s">
        <v>60</v>
      </c>
      <c r="I65" s="2" t="s">
        <v>36</v>
      </c>
      <c r="J65" s="2">
        <v>0</v>
      </c>
      <c r="K65" s="2">
        <v>1</v>
      </c>
      <c r="L65" s="2">
        <v>6</v>
      </c>
      <c r="M65" s="2" t="s">
        <v>37</v>
      </c>
      <c r="N65" s="2">
        <v>1</v>
      </c>
      <c r="O65" s="2">
        <v>1</v>
      </c>
      <c r="P65" s="2">
        <v>3</v>
      </c>
      <c r="Q65" s="2"/>
      <c r="R65" s="2">
        <v>0</v>
      </c>
      <c r="S65" s="2">
        <v>0</v>
      </c>
      <c r="T65" s="2">
        <v>0</v>
      </c>
      <c r="U65" s="2"/>
      <c r="V65" s="2"/>
      <c r="W65" s="2"/>
      <c r="X65" s="2"/>
      <c r="Y65" s="3" t="s">
        <v>387</v>
      </c>
      <c r="Z65" s="3" t="s">
        <v>388</v>
      </c>
      <c r="AA65" s="2">
        <f>IF(OR(D65="Monster", E65="Basic"), 0, ROUND((MIN(IFERROR(VLOOKUP(G65, Relic_Price_Config!$A$5:$E$9, 4, FALSE), 350), MAX(IFERROR(VLOOKUP(G65, Relic_Price_Config!$A$5:$E$9, 3, FALSE), 210), ROUND((IFERROR(VLOOKUP(H65, Relic_Price_Config!$G$5:$N$100, 4, FALSE), 280) + N(L65) * IF(N(O65)&gt;1, N(O65), 1) * IFERROR(VLOOKUP(H65, Relic_Price_Config!$G$5:$N$100, 5, FALSE), 10) + ABS(N(R65)) * IFERROR(VLOOKUP(H65, Relic_Price_Config!$G$5:$N$100, 6, FALSE), 15) + IF(N(S65)&gt;1, (N(S65)-1)*10, 0)) * IFERROR(VLOOKUP(G65, Relic_Price_Config!$A$5:$E$9, 2, FALSE), 1), 0))) * 0.1) / 5, 0) * 5)</f>
        <v>30</v>
      </c>
      <c r="AB65" s="2">
        <f t="shared" si="0"/>
        <v>20</v>
      </c>
    </row>
    <row r="66" spans="1:28" ht="27" customHeight="1">
      <c r="A66" s="5" t="s">
        <v>389</v>
      </c>
      <c r="B66" s="5" t="s">
        <v>390</v>
      </c>
      <c r="C66" s="9" t="s">
        <v>391</v>
      </c>
      <c r="D66" s="5" t="s">
        <v>59</v>
      </c>
      <c r="E66" s="2" t="s">
        <v>115</v>
      </c>
      <c r="F66" s="5" t="s">
        <v>33</v>
      </c>
      <c r="G66" s="5" t="s">
        <v>34</v>
      </c>
      <c r="H66" s="5" t="s">
        <v>392</v>
      </c>
      <c r="I66" s="5" t="s">
        <v>36</v>
      </c>
      <c r="J66" s="5">
        <v>0</v>
      </c>
      <c r="K66" s="5">
        <v>1</v>
      </c>
      <c r="L66" s="5">
        <v>5</v>
      </c>
      <c r="M66" s="5" t="s">
        <v>37</v>
      </c>
      <c r="N66" s="5">
        <v>1</v>
      </c>
      <c r="O66" s="5">
        <v>1</v>
      </c>
      <c r="P66" s="5">
        <v>2</v>
      </c>
      <c r="Q66" s="5" t="s">
        <v>130</v>
      </c>
      <c r="R66" s="5">
        <v>1</v>
      </c>
      <c r="S66" s="5">
        <v>1</v>
      </c>
      <c r="T66" s="5">
        <v>0</v>
      </c>
      <c r="U66" s="5"/>
      <c r="V66" s="5"/>
      <c r="W66" s="5"/>
      <c r="X66" s="5"/>
      <c r="Y66" s="6" t="s">
        <v>393</v>
      </c>
      <c r="Z66" s="6" t="s">
        <v>394</v>
      </c>
      <c r="AA66" s="5">
        <f>IF(OR(D66="Monster", E66="Basic"), 0, ROUND((MIN(IFERROR(VLOOKUP(G66, Relic_Price_Config!$A$5:$E$9, 4, FALSE), 350), MAX(IFERROR(VLOOKUP(G66, Relic_Price_Config!$A$5:$E$9, 3, FALSE), 210), ROUND((IFERROR(VLOOKUP(H66, Relic_Price_Config!$G$5:$N$100, 4, FALSE), 280) + N(L66) * IF(N(O66)&gt;1, N(O66), 1) * IFERROR(VLOOKUP(H66, Relic_Price_Config!$G$5:$N$100, 5, FALSE), 10) + ABS(N(R66)) * IFERROR(VLOOKUP(H66, Relic_Price_Config!$G$5:$N$100, 6, FALSE), 15) + IF(N(S66)&gt;1, (N(S66)-1)*10, 0)) * IFERROR(VLOOKUP(G66, Relic_Price_Config!$A$5:$E$9, 2, FALSE), 1), 0))) * 0.1) / 5, 0) * 5)</f>
        <v>30</v>
      </c>
      <c r="AB66" s="5">
        <f t="shared" ref="AB66:AB129" si="1">IF(AA66&lt;=0, 0, ROUND((AA66*0.7)/5, 0)*5)</f>
        <v>20</v>
      </c>
    </row>
    <row r="67" spans="1:28" ht="17.25" customHeight="1">
      <c r="A67" s="2" t="s">
        <v>395</v>
      </c>
      <c r="B67" s="2" t="s">
        <v>396</v>
      </c>
      <c r="C67" s="3" t="s">
        <v>397</v>
      </c>
      <c r="D67" s="2" t="s">
        <v>59</v>
      </c>
      <c r="E67" s="2" t="s">
        <v>115</v>
      </c>
      <c r="F67" s="2" t="s">
        <v>33</v>
      </c>
      <c r="G67" s="2" t="s">
        <v>34</v>
      </c>
      <c r="H67" s="2" t="s">
        <v>140</v>
      </c>
      <c r="I67" s="2" t="s">
        <v>36</v>
      </c>
      <c r="J67" s="2">
        <v>0</v>
      </c>
      <c r="K67" s="2">
        <v>1</v>
      </c>
      <c r="L67" s="2">
        <v>6</v>
      </c>
      <c r="M67" s="2" t="s">
        <v>37</v>
      </c>
      <c r="N67" s="2">
        <v>1</v>
      </c>
      <c r="O67" s="2">
        <v>1</v>
      </c>
      <c r="P67" s="2">
        <v>3</v>
      </c>
      <c r="Q67" s="2"/>
      <c r="R67" s="2">
        <v>0</v>
      </c>
      <c r="S67" s="2">
        <v>0</v>
      </c>
      <c r="T67" s="2">
        <v>0</v>
      </c>
      <c r="U67" s="2"/>
      <c r="V67" s="2"/>
      <c r="W67" s="2"/>
      <c r="X67" s="2"/>
      <c r="Y67" s="3" t="s">
        <v>398</v>
      </c>
      <c r="Z67" s="3" t="s">
        <v>399</v>
      </c>
      <c r="AA67" s="2">
        <f>IF(OR(D67="Monster", E67="Basic"), 0, ROUND((MIN(IFERROR(VLOOKUP(G67, Relic_Price_Config!$A$5:$E$9, 4, FALSE), 350), MAX(IFERROR(VLOOKUP(G67, Relic_Price_Config!$A$5:$E$9, 3, FALSE), 210), ROUND((IFERROR(VLOOKUP(H67, Relic_Price_Config!$G$5:$N$100, 4, FALSE), 280) + N(L67) * IF(N(O67)&gt;1, N(O67), 1) * IFERROR(VLOOKUP(H67, Relic_Price_Config!$G$5:$N$100, 5, FALSE), 10) + ABS(N(R67)) * IFERROR(VLOOKUP(H67, Relic_Price_Config!$G$5:$N$100, 6, FALSE), 15) + IF(N(S67)&gt;1, (N(S67)-1)*10, 0)) * IFERROR(VLOOKUP(G67, Relic_Price_Config!$A$5:$E$9, 2, FALSE), 1), 0))) * 0.1) / 5, 0) * 5)</f>
        <v>30</v>
      </c>
      <c r="AB67" s="2">
        <f t="shared" si="1"/>
        <v>20</v>
      </c>
    </row>
    <row r="68" spans="1:28" ht="17.25" customHeight="1">
      <c r="A68" s="5" t="s">
        <v>400</v>
      </c>
      <c r="B68" s="5" t="s">
        <v>401</v>
      </c>
      <c r="C68" s="9" t="s">
        <v>402</v>
      </c>
      <c r="D68" s="5" t="s">
        <v>59</v>
      </c>
      <c r="E68" s="2" t="s">
        <v>115</v>
      </c>
      <c r="F68" s="5" t="s">
        <v>33</v>
      </c>
      <c r="G68" s="5" t="s">
        <v>34</v>
      </c>
      <c r="H68" s="5" t="s">
        <v>174</v>
      </c>
      <c r="I68" s="5" t="s">
        <v>108</v>
      </c>
      <c r="J68" s="5">
        <v>0</v>
      </c>
      <c r="K68" s="5">
        <v>1</v>
      </c>
      <c r="L68" s="5">
        <v>3</v>
      </c>
      <c r="M68" s="5" t="s">
        <v>37</v>
      </c>
      <c r="N68" s="5">
        <v>1</v>
      </c>
      <c r="O68" s="5">
        <v>2</v>
      </c>
      <c r="P68" s="5">
        <v>0</v>
      </c>
      <c r="Q68" s="5"/>
      <c r="R68" s="5">
        <v>0</v>
      </c>
      <c r="S68" s="5">
        <v>0</v>
      </c>
      <c r="T68" s="5">
        <v>0</v>
      </c>
      <c r="U68" s="5"/>
      <c r="V68" s="5"/>
      <c r="W68" s="5"/>
      <c r="X68" s="5"/>
      <c r="Y68" s="6" t="s">
        <v>403</v>
      </c>
      <c r="Z68" s="6" t="s">
        <v>404</v>
      </c>
      <c r="AA68" s="5">
        <f>IF(OR(D68="Monster", E68="Basic"), 0, ROUND((MIN(IFERROR(VLOOKUP(G68, Relic_Price_Config!$A$5:$E$9, 4, FALSE), 350), MAX(IFERROR(VLOOKUP(G68, Relic_Price_Config!$A$5:$E$9, 3, FALSE), 210), ROUND((IFERROR(VLOOKUP(H68, Relic_Price_Config!$G$5:$N$100, 4, FALSE), 280) + N(L68) * IF(N(O68)&gt;1, N(O68), 1) * IFERROR(VLOOKUP(H68, Relic_Price_Config!$G$5:$N$100, 5, FALSE), 10) + ABS(N(R68)) * IFERROR(VLOOKUP(H68, Relic_Price_Config!$G$5:$N$100, 6, FALSE), 15) + IF(N(S68)&gt;1, (N(S68)-1)*10, 0)) * IFERROR(VLOOKUP(G68, Relic_Price_Config!$A$5:$E$9, 2, FALSE), 1), 0))) * 0.1) / 5, 0) * 5)</f>
        <v>30</v>
      </c>
      <c r="AB68" s="5">
        <f t="shared" si="1"/>
        <v>20</v>
      </c>
    </row>
    <row r="69" spans="1:28" ht="27" customHeight="1">
      <c r="A69" s="2" t="s">
        <v>405</v>
      </c>
      <c r="B69" s="2" t="s">
        <v>406</v>
      </c>
      <c r="C69" s="3" t="s">
        <v>407</v>
      </c>
      <c r="D69" s="2" t="s">
        <v>59</v>
      </c>
      <c r="E69" s="2" t="s">
        <v>115</v>
      </c>
      <c r="F69" s="2" t="s">
        <v>33</v>
      </c>
      <c r="G69" s="2" t="s">
        <v>34</v>
      </c>
      <c r="H69" s="2" t="s">
        <v>309</v>
      </c>
      <c r="I69" s="2" t="s">
        <v>108</v>
      </c>
      <c r="J69" s="2">
        <v>0</v>
      </c>
      <c r="K69" s="2">
        <v>1</v>
      </c>
      <c r="L69" s="2">
        <v>4</v>
      </c>
      <c r="M69" s="2" t="s">
        <v>37</v>
      </c>
      <c r="N69" s="2">
        <v>1</v>
      </c>
      <c r="O69" s="2">
        <v>1</v>
      </c>
      <c r="P69" s="2">
        <v>0</v>
      </c>
      <c r="Q69" s="2" t="s">
        <v>130</v>
      </c>
      <c r="R69" s="2">
        <v>1</v>
      </c>
      <c r="S69" s="2">
        <v>1</v>
      </c>
      <c r="T69" s="2">
        <v>0</v>
      </c>
      <c r="U69" s="2"/>
      <c r="V69" s="2"/>
      <c r="W69" s="2"/>
      <c r="X69" s="2"/>
      <c r="Y69" s="3" t="s">
        <v>408</v>
      </c>
      <c r="Z69" s="3" t="s">
        <v>404</v>
      </c>
      <c r="AA69" s="2">
        <f>IF(OR(D69="Monster", E69="Basic"), 0, ROUND((MIN(IFERROR(VLOOKUP(G69, Relic_Price_Config!$A$5:$E$9, 4, FALSE), 350), MAX(IFERROR(VLOOKUP(G69, Relic_Price_Config!$A$5:$E$9, 3, FALSE), 210), ROUND((IFERROR(VLOOKUP(H69, Relic_Price_Config!$G$5:$N$100, 4, FALSE), 280) + N(L69) * IF(N(O69)&gt;1, N(O69), 1) * IFERROR(VLOOKUP(H69, Relic_Price_Config!$G$5:$N$100, 5, FALSE), 10) + ABS(N(R69)) * IFERROR(VLOOKUP(H69, Relic_Price_Config!$G$5:$N$100, 6, FALSE), 15) + IF(N(S69)&gt;1, (N(S69)-1)*10, 0)) * IFERROR(VLOOKUP(G69, Relic_Price_Config!$A$5:$E$9, 2, FALSE), 1), 0))) * 0.1) / 5, 0) * 5)</f>
        <v>30</v>
      </c>
      <c r="AB69" s="2">
        <f t="shared" si="1"/>
        <v>20</v>
      </c>
    </row>
    <row r="70" spans="1:28" ht="17.25" customHeight="1">
      <c r="A70" s="5" t="s">
        <v>409</v>
      </c>
      <c r="B70" s="5" t="s">
        <v>410</v>
      </c>
      <c r="C70" s="9" t="s">
        <v>411</v>
      </c>
      <c r="D70" s="5" t="s">
        <v>59</v>
      </c>
      <c r="E70" s="2" t="s">
        <v>115</v>
      </c>
      <c r="F70" s="5" t="s">
        <v>33</v>
      </c>
      <c r="G70" s="5" t="s">
        <v>34</v>
      </c>
      <c r="H70" s="5" t="s">
        <v>412</v>
      </c>
      <c r="I70" s="5" t="s">
        <v>108</v>
      </c>
      <c r="J70" s="5">
        <v>0</v>
      </c>
      <c r="K70" s="5">
        <v>1</v>
      </c>
      <c r="L70" s="5">
        <v>4</v>
      </c>
      <c r="M70" s="5" t="s">
        <v>37</v>
      </c>
      <c r="N70" s="5">
        <v>1</v>
      </c>
      <c r="O70" s="5">
        <v>1</v>
      </c>
      <c r="P70" s="5">
        <v>0</v>
      </c>
      <c r="Q70" s="5" t="s">
        <v>413</v>
      </c>
      <c r="R70" s="5">
        <v>1</v>
      </c>
      <c r="S70" s="5">
        <v>1</v>
      </c>
      <c r="T70" s="5">
        <v>0</v>
      </c>
      <c r="U70" s="5"/>
      <c r="V70" s="5"/>
      <c r="W70" s="5"/>
      <c r="X70" s="5"/>
      <c r="Y70" s="6" t="s">
        <v>414</v>
      </c>
      <c r="Z70" s="6" t="s">
        <v>404</v>
      </c>
      <c r="AA70" s="5">
        <f>IF(OR(D70="Monster", E70="Basic"), 0, ROUND((MIN(IFERROR(VLOOKUP(G70, Relic_Price_Config!$A$5:$E$9, 4, FALSE), 350), MAX(IFERROR(VLOOKUP(G70, Relic_Price_Config!$A$5:$E$9, 3, FALSE), 210), ROUND((IFERROR(VLOOKUP(H70, Relic_Price_Config!$G$5:$N$100, 4, FALSE), 280) + N(L70) * IF(N(O70)&gt;1, N(O70), 1) * IFERROR(VLOOKUP(H70, Relic_Price_Config!$G$5:$N$100, 5, FALSE), 10) + ABS(N(R70)) * IFERROR(VLOOKUP(H70, Relic_Price_Config!$G$5:$N$100, 6, FALSE), 15) + IF(N(S70)&gt;1, (N(S70)-1)*10, 0)) * IFERROR(VLOOKUP(G70, Relic_Price_Config!$A$5:$E$9, 2, FALSE), 1), 0))) * 0.1) / 5, 0) * 5)</f>
        <v>30</v>
      </c>
      <c r="AB70" s="5">
        <f t="shared" si="1"/>
        <v>20</v>
      </c>
    </row>
    <row r="71" spans="1:28" ht="17.25" customHeight="1">
      <c r="A71" s="2" t="s">
        <v>415</v>
      </c>
      <c r="B71" s="2" t="s">
        <v>416</v>
      </c>
      <c r="C71" s="3" t="s">
        <v>417</v>
      </c>
      <c r="D71" s="2" t="s">
        <v>59</v>
      </c>
      <c r="E71" s="2" t="s">
        <v>115</v>
      </c>
      <c r="F71" s="2" t="s">
        <v>51</v>
      </c>
      <c r="G71" s="2" t="s">
        <v>34</v>
      </c>
      <c r="H71" s="2" t="s">
        <v>418</v>
      </c>
      <c r="I71" s="2" t="s">
        <v>108</v>
      </c>
      <c r="J71" s="2">
        <v>0</v>
      </c>
      <c r="K71" s="2">
        <v>1</v>
      </c>
      <c r="L71" s="2">
        <v>0</v>
      </c>
      <c r="M71" s="2"/>
      <c r="N71" s="2">
        <v>0</v>
      </c>
      <c r="O71" s="2">
        <v>1</v>
      </c>
      <c r="P71" s="2">
        <v>0</v>
      </c>
      <c r="Q71" s="2" t="s">
        <v>94</v>
      </c>
      <c r="R71" s="2">
        <v>1</v>
      </c>
      <c r="S71" s="2">
        <v>1</v>
      </c>
      <c r="T71" s="2">
        <v>0</v>
      </c>
      <c r="U71" s="2"/>
      <c r="V71" s="2"/>
      <c r="W71" s="2"/>
      <c r="X71" s="2"/>
      <c r="Y71" s="3" t="s">
        <v>419</v>
      </c>
      <c r="Z71" s="3" t="s">
        <v>420</v>
      </c>
      <c r="AA71" s="2">
        <f>IF(OR(D71="Monster", E71="Basic"), 0, ROUND((MIN(IFERROR(VLOOKUP(G71, Relic_Price_Config!$A$5:$E$9, 4, FALSE), 350), MAX(IFERROR(VLOOKUP(G71, Relic_Price_Config!$A$5:$E$9, 3, FALSE), 210), ROUND((IFERROR(VLOOKUP(H71, Relic_Price_Config!$G$5:$N$100, 4, FALSE), 280) + N(L71) * IF(N(O71)&gt;1, N(O71), 1) * IFERROR(VLOOKUP(H71, Relic_Price_Config!$G$5:$N$100, 5, FALSE), 10) + ABS(N(R71)) * IFERROR(VLOOKUP(H71, Relic_Price_Config!$G$5:$N$100, 6, FALSE), 15) + IF(N(S71)&gt;1, (N(S71)-1)*10, 0)) * IFERROR(VLOOKUP(G71, Relic_Price_Config!$A$5:$E$9, 2, FALSE), 1), 0))) * 0.1) / 5, 0) * 5)</f>
        <v>30</v>
      </c>
      <c r="AB71" s="2">
        <f t="shared" si="1"/>
        <v>20</v>
      </c>
    </row>
    <row r="72" spans="1:28" ht="24" customHeight="1">
      <c r="A72" s="5" t="s">
        <v>421</v>
      </c>
      <c r="B72" s="5" t="s">
        <v>422</v>
      </c>
      <c r="C72" s="9" t="s">
        <v>423</v>
      </c>
      <c r="D72" s="5" t="s">
        <v>59</v>
      </c>
      <c r="E72" s="2" t="s">
        <v>115</v>
      </c>
      <c r="F72" s="5" t="s">
        <v>51</v>
      </c>
      <c r="G72" s="5" t="s">
        <v>34</v>
      </c>
      <c r="H72" s="5" t="s">
        <v>424</v>
      </c>
      <c r="I72" s="5" t="s">
        <v>108</v>
      </c>
      <c r="J72" s="5">
        <v>0</v>
      </c>
      <c r="K72" s="5">
        <v>1</v>
      </c>
      <c r="L72" s="5">
        <v>0</v>
      </c>
      <c r="M72" s="5"/>
      <c r="N72" s="5">
        <v>0</v>
      </c>
      <c r="O72" s="5">
        <v>1</v>
      </c>
      <c r="P72" s="5">
        <v>0</v>
      </c>
      <c r="Q72" s="5" t="s">
        <v>425</v>
      </c>
      <c r="R72" s="5">
        <v>1</v>
      </c>
      <c r="S72" s="5">
        <v>1</v>
      </c>
      <c r="T72" s="5">
        <v>0</v>
      </c>
      <c r="U72" s="5"/>
      <c r="V72" s="5"/>
      <c r="W72" s="5"/>
      <c r="X72" s="5"/>
      <c r="Y72" s="6" t="s">
        <v>426</v>
      </c>
      <c r="Z72" s="6" t="s">
        <v>420</v>
      </c>
      <c r="AA72" s="5">
        <f>IF(OR(D72="Monster", E72="Basic"), 0, ROUND((MIN(IFERROR(VLOOKUP(G72, Relic_Price_Config!$A$5:$E$9, 4, FALSE), 350), MAX(IFERROR(VLOOKUP(G72, Relic_Price_Config!$A$5:$E$9, 3, FALSE), 210), ROUND((IFERROR(VLOOKUP(H72, Relic_Price_Config!$G$5:$N$100, 4, FALSE), 280) + N(L72) * IF(N(O72)&gt;1, N(O72), 1) * IFERROR(VLOOKUP(H72, Relic_Price_Config!$G$5:$N$100, 5, FALSE), 10) + ABS(N(R72)) * IFERROR(VLOOKUP(H72, Relic_Price_Config!$G$5:$N$100, 6, FALSE), 15) + IF(N(S72)&gt;1, (N(S72)-1)*10, 0)) * IFERROR(VLOOKUP(G72, Relic_Price_Config!$A$5:$E$9, 2, FALSE), 1), 0))) * 0.1) / 5, 0) * 5)</f>
        <v>30</v>
      </c>
      <c r="AB72" s="5">
        <f t="shared" si="1"/>
        <v>20</v>
      </c>
    </row>
    <row r="73" spans="1:28" ht="24" customHeight="1">
      <c r="A73" s="2" t="s">
        <v>427</v>
      </c>
      <c r="B73" s="2" t="s">
        <v>428</v>
      </c>
      <c r="C73" s="3" t="s">
        <v>429</v>
      </c>
      <c r="D73" s="2" t="s">
        <v>59</v>
      </c>
      <c r="E73" s="2" t="s">
        <v>115</v>
      </c>
      <c r="F73" s="2" t="s">
        <v>43</v>
      </c>
      <c r="G73" s="2" t="s">
        <v>34</v>
      </c>
      <c r="H73" s="2" t="s">
        <v>52</v>
      </c>
      <c r="I73" s="2" t="s">
        <v>45</v>
      </c>
      <c r="J73" s="2">
        <v>0</v>
      </c>
      <c r="K73" s="2">
        <v>1</v>
      </c>
      <c r="L73" s="2">
        <v>5</v>
      </c>
      <c r="M73" s="2" t="s">
        <v>46</v>
      </c>
      <c r="N73" s="2">
        <v>1</v>
      </c>
      <c r="O73" s="2">
        <v>1</v>
      </c>
      <c r="P73" s="2">
        <v>2</v>
      </c>
      <c r="Q73" s="2" t="s">
        <v>53</v>
      </c>
      <c r="R73" s="2">
        <v>1</v>
      </c>
      <c r="S73" s="2">
        <v>1</v>
      </c>
      <c r="T73" s="2">
        <v>0</v>
      </c>
      <c r="U73" s="2"/>
      <c r="V73" s="2"/>
      <c r="W73" s="2"/>
      <c r="X73" s="2"/>
      <c r="Y73" s="3" t="s">
        <v>430</v>
      </c>
      <c r="Z73" s="3" t="s">
        <v>431</v>
      </c>
      <c r="AA73" s="2">
        <f>IF(OR(D73="Monster", E73="Basic"), 0, ROUND((MIN(IFERROR(VLOOKUP(G73, Relic_Price_Config!$A$5:$E$9, 4, FALSE), 350), MAX(IFERROR(VLOOKUP(G73, Relic_Price_Config!$A$5:$E$9, 3, FALSE), 210), ROUND((IFERROR(VLOOKUP(H73, Relic_Price_Config!$G$5:$N$100, 4, FALSE), 280) + N(L73) * IF(N(O73)&gt;1, N(O73), 1) * IFERROR(VLOOKUP(H73, Relic_Price_Config!$G$5:$N$100, 5, FALSE), 10) + ABS(N(R73)) * IFERROR(VLOOKUP(H73, Relic_Price_Config!$G$5:$N$100, 6, FALSE), 15) + IF(N(S73)&gt;1, (N(S73)-1)*10, 0)) * IFERROR(VLOOKUP(G73, Relic_Price_Config!$A$5:$E$9, 2, FALSE), 1), 0))) * 0.1) / 5, 0) * 5)</f>
        <v>30</v>
      </c>
      <c r="AB73" s="2">
        <f t="shared" si="1"/>
        <v>20</v>
      </c>
    </row>
    <row r="74" spans="1:28" ht="24" customHeight="1">
      <c r="A74" s="5" t="s">
        <v>432</v>
      </c>
      <c r="B74" s="5" t="s">
        <v>433</v>
      </c>
      <c r="C74" s="9" t="s">
        <v>434</v>
      </c>
      <c r="D74" s="5" t="s">
        <v>59</v>
      </c>
      <c r="E74" s="2" t="s">
        <v>115</v>
      </c>
      <c r="F74" s="5" t="s">
        <v>51</v>
      </c>
      <c r="G74" s="5" t="s">
        <v>34</v>
      </c>
      <c r="H74" s="5" t="s">
        <v>146</v>
      </c>
      <c r="I74" s="5" t="s">
        <v>45</v>
      </c>
      <c r="J74" s="5">
        <v>0</v>
      </c>
      <c r="K74" s="5">
        <v>1</v>
      </c>
      <c r="L74" s="5">
        <v>1</v>
      </c>
      <c r="M74" s="5"/>
      <c r="N74" s="5">
        <v>0</v>
      </c>
      <c r="O74" s="5">
        <v>1</v>
      </c>
      <c r="P74" s="5">
        <v>0</v>
      </c>
      <c r="Q74" s="5"/>
      <c r="R74" s="5">
        <v>0</v>
      </c>
      <c r="S74" s="5">
        <v>0</v>
      </c>
      <c r="T74" s="5">
        <v>0</v>
      </c>
      <c r="U74" s="5"/>
      <c r="V74" s="5"/>
      <c r="W74" s="5"/>
      <c r="X74" s="5"/>
      <c r="Y74" s="6" t="s">
        <v>435</v>
      </c>
      <c r="Z74" s="6" t="s">
        <v>436</v>
      </c>
      <c r="AA74" s="5">
        <f>IF(OR(D74="Monster", E74="Basic"), 0, ROUND((MIN(IFERROR(VLOOKUP(G74, Relic_Price_Config!$A$5:$E$9, 4, FALSE), 350), MAX(IFERROR(VLOOKUP(G74, Relic_Price_Config!$A$5:$E$9, 3, FALSE), 210), ROUND((IFERROR(VLOOKUP(H74, Relic_Price_Config!$G$5:$N$100, 4, FALSE), 280) + N(L74) * IF(N(O74)&gt;1, N(O74), 1) * IFERROR(VLOOKUP(H74, Relic_Price_Config!$G$5:$N$100, 5, FALSE), 10) + ABS(N(R74)) * IFERROR(VLOOKUP(H74, Relic_Price_Config!$G$5:$N$100, 6, FALSE), 15) + IF(N(S74)&gt;1, (N(S74)-1)*10, 0)) * IFERROR(VLOOKUP(G74, Relic_Price_Config!$A$5:$E$9, 2, FALSE), 1), 0))) * 0.1) / 5, 0) * 5)</f>
        <v>35</v>
      </c>
      <c r="AB74" s="5">
        <f t="shared" si="1"/>
        <v>25</v>
      </c>
    </row>
    <row r="75" spans="1:28" ht="24" customHeight="1">
      <c r="A75" s="2" t="s">
        <v>437</v>
      </c>
      <c r="B75" s="2" t="s">
        <v>438</v>
      </c>
      <c r="C75" s="3" t="s">
        <v>439</v>
      </c>
      <c r="D75" s="2" t="s">
        <v>59</v>
      </c>
      <c r="E75" s="2" t="s">
        <v>115</v>
      </c>
      <c r="F75" s="2" t="s">
        <v>43</v>
      </c>
      <c r="G75" s="2" t="s">
        <v>34</v>
      </c>
      <c r="H75" s="2" t="s">
        <v>228</v>
      </c>
      <c r="I75" s="2" t="s">
        <v>45</v>
      </c>
      <c r="J75" s="2">
        <v>0</v>
      </c>
      <c r="K75" s="2">
        <v>1</v>
      </c>
      <c r="L75" s="2">
        <v>6</v>
      </c>
      <c r="M75" s="2" t="s">
        <v>46</v>
      </c>
      <c r="N75" s="2">
        <v>1</v>
      </c>
      <c r="O75" s="2">
        <v>1</v>
      </c>
      <c r="P75" s="2">
        <v>0</v>
      </c>
      <c r="Q75" s="2" t="s">
        <v>229</v>
      </c>
      <c r="R75" s="2">
        <v>1</v>
      </c>
      <c r="S75" s="2">
        <v>2</v>
      </c>
      <c r="T75" s="2">
        <v>0</v>
      </c>
      <c r="U75" s="2"/>
      <c r="V75" s="2"/>
      <c r="W75" s="2"/>
      <c r="X75" s="2"/>
      <c r="Y75" s="3" t="s">
        <v>440</v>
      </c>
      <c r="Z75" s="3" t="s">
        <v>436</v>
      </c>
      <c r="AA75" s="2">
        <f>IF(OR(D75="Monster", E75="Basic"), 0, ROUND((MIN(IFERROR(VLOOKUP(G75, Relic_Price_Config!$A$5:$E$9, 4, FALSE), 350), MAX(IFERROR(VLOOKUP(G75, Relic_Price_Config!$A$5:$E$9, 3, FALSE), 210), ROUND((IFERROR(VLOOKUP(H75, Relic_Price_Config!$G$5:$N$100, 4, FALSE), 280) + N(L75) * IF(N(O75)&gt;1, N(O75), 1) * IFERROR(VLOOKUP(H75, Relic_Price_Config!$G$5:$N$100, 5, FALSE), 10) + ABS(N(R75)) * IFERROR(VLOOKUP(H75, Relic_Price_Config!$G$5:$N$100, 6, FALSE), 15) + IF(N(S75)&gt;1, (N(S75)-1)*10, 0)) * IFERROR(VLOOKUP(G75, Relic_Price_Config!$A$5:$E$9, 2, FALSE), 1), 0))) * 0.1) / 5, 0) * 5)</f>
        <v>35</v>
      </c>
      <c r="AB75" s="2">
        <f t="shared" si="1"/>
        <v>25</v>
      </c>
    </row>
    <row r="76" spans="1:28" ht="24" customHeight="1">
      <c r="A76" s="5" t="s">
        <v>441</v>
      </c>
      <c r="B76" s="5" t="s">
        <v>442</v>
      </c>
      <c r="C76" s="9" t="s">
        <v>443</v>
      </c>
      <c r="D76" s="5" t="s">
        <v>59</v>
      </c>
      <c r="E76" s="2" t="s">
        <v>115</v>
      </c>
      <c r="F76" s="5" t="s">
        <v>51</v>
      </c>
      <c r="G76" s="5" t="s">
        <v>34</v>
      </c>
      <c r="H76" s="5" t="s">
        <v>185</v>
      </c>
      <c r="I76" s="5" t="s">
        <v>45</v>
      </c>
      <c r="J76" s="5">
        <v>0</v>
      </c>
      <c r="K76" s="5">
        <v>1</v>
      </c>
      <c r="L76" s="5">
        <v>0</v>
      </c>
      <c r="M76" s="5"/>
      <c r="N76" s="5">
        <v>0</v>
      </c>
      <c r="O76" s="5">
        <v>1</v>
      </c>
      <c r="P76" s="5">
        <v>0</v>
      </c>
      <c r="Q76" s="5" t="s">
        <v>71</v>
      </c>
      <c r="R76" s="5">
        <v>2</v>
      </c>
      <c r="S76" s="5">
        <v>1</v>
      </c>
      <c r="T76" s="5">
        <v>2</v>
      </c>
      <c r="U76" s="5"/>
      <c r="V76" s="5"/>
      <c r="W76" s="5"/>
      <c r="X76" s="5"/>
      <c r="Y76" s="6" t="s">
        <v>444</v>
      </c>
      <c r="Z76" s="6" t="s">
        <v>445</v>
      </c>
      <c r="AA76" s="5">
        <f>IF(OR(D76="Monster", E76="Basic"), 0, ROUND((MIN(IFERROR(VLOOKUP(G76, Relic_Price_Config!$A$5:$E$9, 4, FALSE), 350), MAX(IFERROR(VLOOKUP(G76, Relic_Price_Config!$A$5:$E$9, 3, FALSE), 210), ROUND((IFERROR(VLOOKUP(H76, Relic_Price_Config!$G$5:$N$100, 4, FALSE), 280) + N(L76) * IF(N(O76)&gt;1, N(O76), 1) * IFERROR(VLOOKUP(H76, Relic_Price_Config!$G$5:$N$100, 5, FALSE), 10) + ABS(N(R76)) * IFERROR(VLOOKUP(H76, Relic_Price_Config!$G$5:$N$100, 6, FALSE), 15) + IF(N(S76)&gt;1, (N(S76)-1)*10, 0)) * IFERROR(VLOOKUP(G76, Relic_Price_Config!$A$5:$E$9, 2, FALSE), 1), 0))) * 0.1) / 5, 0) * 5)</f>
        <v>30</v>
      </c>
      <c r="AB76" s="5">
        <f t="shared" si="1"/>
        <v>20</v>
      </c>
    </row>
    <row r="77" spans="1:28" ht="24" customHeight="1">
      <c r="A77" s="2" t="s">
        <v>446</v>
      </c>
      <c r="B77" s="2" t="s">
        <v>447</v>
      </c>
      <c r="C77" s="3" t="s">
        <v>448</v>
      </c>
      <c r="D77" s="2" t="s">
        <v>59</v>
      </c>
      <c r="E77" s="2" t="s">
        <v>115</v>
      </c>
      <c r="F77" s="2" t="s">
        <v>33</v>
      </c>
      <c r="G77" s="2" t="s">
        <v>34</v>
      </c>
      <c r="H77" s="2" t="s">
        <v>35</v>
      </c>
      <c r="I77" s="2" t="s">
        <v>36</v>
      </c>
      <c r="J77" s="2">
        <v>0</v>
      </c>
      <c r="K77" s="2">
        <v>1</v>
      </c>
      <c r="L77" s="2">
        <v>3</v>
      </c>
      <c r="M77" s="2" t="s">
        <v>37</v>
      </c>
      <c r="N77" s="2">
        <v>1</v>
      </c>
      <c r="O77" s="2">
        <v>3</v>
      </c>
      <c r="P77" s="2">
        <v>0</v>
      </c>
      <c r="Q77" s="2"/>
      <c r="R77" s="2">
        <v>0</v>
      </c>
      <c r="S77" s="2">
        <v>0</v>
      </c>
      <c r="T77" s="2">
        <v>0</v>
      </c>
      <c r="U77" s="2"/>
      <c r="V77" s="2"/>
      <c r="W77" s="2"/>
      <c r="X77" s="2"/>
      <c r="Y77" s="3" t="s">
        <v>449</v>
      </c>
      <c r="Z77" s="3" t="s">
        <v>450</v>
      </c>
      <c r="AA77" s="2">
        <f>IF(OR(D77="Monster", E77="Basic"), 0, ROUND((MIN(IFERROR(VLOOKUP(G77, Relic_Price_Config!$A$5:$E$9, 4, FALSE), 350), MAX(IFERROR(VLOOKUP(G77, Relic_Price_Config!$A$5:$E$9, 3, FALSE), 210), ROUND((IFERROR(VLOOKUP(H77, Relic_Price_Config!$G$5:$N$100, 4, FALSE), 280) + N(L77) * IF(N(O77)&gt;1, N(O77), 1) * IFERROR(VLOOKUP(H77, Relic_Price_Config!$G$5:$N$100, 5, FALSE), 10) + ABS(N(R77)) * IFERROR(VLOOKUP(H77, Relic_Price_Config!$G$5:$N$100, 6, FALSE), 15) + IF(N(S77)&gt;1, (N(S77)-1)*10, 0)) * IFERROR(VLOOKUP(G77, Relic_Price_Config!$A$5:$E$9, 2, FALSE), 1), 0))) * 0.1) / 5, 0) * 5)</f>
        <v>30</v>
      </c>
      <c r="AB77" s="2">
        <f t="shared" si="1"/>
        <v>20</v>
      </c>
    </row>
    <row r="78" spans="1:28" ht="24" customHeight="1">
      <c r="A78" s="5" t="s">
        <v>451</v>
      </c>
      <c r="B78" s="5" t="s">
        <v>452</v>
      </c>
      <c r="C78" s="9" t="s">
        <v>453</v>
      </c>
      <c r="D78" s="5" t="s">
        <v>59</v>
      </c>
      <c r="E78" s="2" t="s">
        <v>115</v>
      </c>
      <c r="F78" s="5" t="s">
        <v>33</v>
      </c>
      <c r="G78" s="5" t="s">
        <v>34</v>
      </c>
      <c r="H78" s="5" t="s">
        <v>179</v>
      </c>
      <c r="I78" s="5" t="s">
        <v>36</v>
      </c>
      <c r="J78" s="5">
        <v>0</v>
      </c>
      <c r="K78" s="5">
        <v>1</v>
      </c>
      <c r="L78" s="5">
        <v>6</v>
      </c>
      <c r="M78" s="5" t="s">
        <v>37</v>
      </c>
      <c r="N78" s="5">
        <v>1</v>
      </c>
      <c r="O78" s="5">
        <v>1</v>
      </c>
      <c r="P78" s="5">
        <v>0</v>
      </c>
      <c r="Q78" s="5" t="s">
        <v>180</v>
      </c>
      <c r="R78" s="5">
        <v>2</v>
      </c>
      <c r="S78" s="5">
        <v>1</v>
      </c>
      <c r="T78" s="5">
        <v>0</v>
      </c>
      <c r="U78" s="5"/>
      <c r="V78" s="5"/>
      <c r="W78" s="5"/>
      <c r="X78" s="5"/>
      <c r="Y78" s="6" t="s">
        <v>454</v>
      </c>
      <c r="Z78" s="6" t="s">
        <v>450</v>
      </c>
      <c r="AA78" s="5">
        <f>IF(OR(D78="Monster", E78="Basic"), 0, ROUND((MIN(IFERROR(VLOOKUP(G78, Relic_Price_Config!$A$5:$E$9, 4, FALSE), 350), MAX(IFERROR(VLOOKUP(G78, Relic_Price_Config!$A$5:$E$9, 3, FALSE), 210), ROUND((IFERROR(VLOOKUP(H78, Relic_Price_Config!$G$5:$N$100, 4, FALSE), 280) + N(L78) * IF(N(O78)&gt;1, N(O78), 1) * IFERROR(VLOOKUP(H78, Relic_Price_Config!$G$5:$N$100, 5, FALSE), 10) + ABS(N(R78)) * IFERROR(VLOOKUP(H78, Relic_Price_Config!$G$5:$N$100, 6, FALSE), 15) + IF(N(S78)&gt;1, (N(S78)-1)*10, 0)) * IFERROR(VLOOKUP(G78, Relic_Price_Config!$A$5:$E$9, 2, FALSE), 1), 0))) * 0.1) / 5, 0) * 5)</f>
        <v>35</v>
      </c>
      <c r="AB78" s="5">
        <f t="shared" si="1"/>
        <v>25</v>
      </c>
    </row>
    <row r="79" spans="1:28" ht="24" customHeight="1">
      <c r="A79" s="2" t="s">
        <v>455</v>
      </c>
      <c r="B79" s="2" t="s">
        <v>456</v>
      </c>
      <c r="C79" s="3" t="s">
        <v>457</v>
      </c>
      <c r="D79" s="2" t="s">
        <v>59</v>
      </c>
      <c r="E79" s="2" t="s">
        <v>115</v>
      </c>
      <c r="F79" s="2" t="s">
        <v>43</v>
      </c>
      <c r="G79" s="2" t="s">
        <v>34</v>
      </c>
      <c r="H79" s="2" t="s">
        <v>152</v>
      </c>
      <c r="I79" s="2" t="s">
        <v>36</v>
      </c>
      <c r="J79" s="2">
        <v>0</v>
      </c>
      <c r="K79" s="2">
        <v>1</v>
      </c>
      <c r="L79" s="2">
        <v>5</v>
      </c>
      <c r="M79" s="2" t="s">
        <v>37</v>
      </c>
      <c r="N79" s="2">
        <v>1</v>
      </c>
      <c r="O79" s="2">
        <v>1</v>
      </c>
      <c r="P79" s="2">
        <v>3</v>
      </c>
      <c r="Q79" s="2"/>
      <c r="R79" s="2">
        <v>0</v>
      </c>
      <c r="S79" s="2">
        <v>0</v>
      </c>
      <c r="T79" s="2">
        <v>0</v>
      </c>
      <c r="U79" s="2"/>
      <c r="V79" s="2"/>
      <c r="W79" s="2"/>
      <c r="X79" s="2"/>
      <c r="Y79" s="3" t="s">
        <v>458</v>
      </c>
      <c r="Z79" s="3" t="s">
        <v>459</v>
      </c>
      <c r="AA79" s="2">
        <f>IF(OR(D79="Monster", E79="Basic"), 0, ROUND((MIN(IFERROR(VLOOKUP(G79, Relic_Price_Config!$A$5:$E$9, 4, FALSE), 350), MAX(IFERROR(VLOOKUP(G79, Relic_Price_Config!$A$5:$E$9, 3, FALSE), 210), ROUND((IFERROR(VLOOKUP(H79, Relic_Price_Config!$G$5:$N$100, 4, FALSE), 280) + N(L79) * IF(N(O79)&gt;1, N(O79), 1) * IFERROR(VLOOKUP(H79, Relic_Price_Config!$G$5:$N$100, 5, FALSE), 10) + ABS(N(R79)) * IFERROR(VLOOKUP(H79, Relic_Price_Config!$G$5:$N$100, 6, FALSE), 15) + IF(N(S79)&gt;1, (N(S79)-1)*10, 0)) * IFERROR(VLOOKUP(G79, Relic_Price_Config!$A$5:$E$9, 2, FALSE), 1), 0))) * 0.1) / 5, 0) * 5)</f>
        <v>30</v>
      </c>
      <c r="AB79" s="2">
        <f t="shared" si="1"/>
        <v>20</v>
      </c>
    </row>
    <row r="80" spans="1:28" ht="24" customHeight="1">
      <c r="A80" s="5" t="s">
        <v>460</v>
      </c>
      <c r="B80" s="5" t="s">
        <v>461</v>
      </c>
      <c r="C80" s="9" t="s">
        <v>462</v>
      </c>
      <c r="D80" s="5" t="s">
        <v>59</v>
      </c>
      <c r="E80" s="2" t="s">
        <v>115</v>
      </c>
      <c r="F80" s="5" t="s">
        <v>33</v>
      </c>
      <c r="G80" s="5" t="s">
        <v>208</v>
      </c>
      <c r="H80" s="5" t="s">
        <v>60</v>
      </c>
      <c r="I80" s="5" t="s">
        <v>36</v>
      </c>
      <c r="J80" s="5">
        <v>0</v>
      </c>
      <c r="K80" s="5">
        <v>1</v>
      </c>
      <c r="L80" s="5">
        <v>10</v>
      </c>
      <c r="M80" s="5" t="s">
        <v>37</v>
      </c>
      <c r="N80" s="5">
        <v>1</v>
      </c>
      <c r="O80" s="5">
        <v>1</v>
      </c>
      <c r="P80" s="5">
        <v>5</v>
      </c>
      <c r="Q80" s="5"/>
      <c r="R80" s="5">
        <v>0</v>
      </c>
      <c r="S80" s="5">
        <v>0</v>
      </c>
      <c r="T80" s="5">
        <v>0</v>
      </c>
      <c r="U80" s="5"/>
      <c r="V80" s="5"/>
      <c r="W80" s="5"/>
      <c r="X80" s="5"/>
      <c r="Y80" s="6" t="s">
        <v>463</v>
      </c>
      <c r="Z80" s="6" t="s">
        <v>464</v>
      </c>
      <c r="AA80" s="5">
        <f>IF(OR(D80="Monster", E80="Basic"), 0, ROUND((MIN(IFERROR(VLOOKUP(G80, Relic_Price_Config!$A$5:$E$9, 4, FALSE), 350), MAX(IFERROR(VLOOKUP(G80, Relic_Price_Config!$A$5:$E$9, 3, FALSE), 210), ROUND((IFERROR(VLOOKUP(H80, Relic_Price_Config!$G$5:$N$100, 4, FALSE), 280) + N(L80) * IF(N(O80)&gt;1, N(O80), 1) * IFERROR(VLOOKUP(H80, Relic_Price_Config!$G$5:$N$100, 5, FALSE), 10) + ABS(N(R80)) * IFERROR(VLOOKUP(H80, Relic_Price_Config!$G$5:$N$100, 6, FALSE), 15) + IF(N(S80)&gt;1, (N(S80)-1)*10, 0)) * IFERROR(VLOOKUP(G80, Relic_Price_Config!$A$5:$E$9, 2, FALSE), 1), 0))) * 0.1) / 5, 0) * 5)</f>
        <v>50</v>
      </c>
      <c r="AB80" s="5">
        <f t="shared" si="1"/>
        <v>35</v>
      </c>
    </row>
    <row r="81" spans="1:28" ht="24" customHeight="1">
      <c r="A81" s="2" t="s">
        <v>465</v>
      </c>
      <c r="B81" s="2" t="s">
        <v>466</v>
      </c>
      <c r="C81" s="3" t="s">
        <v>467</v>
      </c>
      <c r="D81" s="2" t="s">
        <v>59</v>
      </c>
      <c r="E81" s="2" t="s">
        <v>115</v>
      </c>
      <c r="F81" s="2" t="s">
        <v>33</v>
      </c>
      <c r="G81" s="2" t="s">
        <v>208</v>
      </c>
      <c r="H81" s="2" t="s">
        <v>468</v>
      </c>
      <c r="I81" s="2" t="s">
        <v>36</v>
      </c>
      <c r="J81" s="2">
        <v>0</v>
      </c>
      <c r="K81" s="2">
        <v>1</v>
      </c>
      <c r="L81" s="2">
        <v>9</v>
      </c>
      <c r="M81" s="2" t="s">
        <v>37</v>
      </c>
      <c r="N81" s="2">
        <v>1</v>
      </c>
      <c r="O81" s="2">
        <v>1</v>
      </c>
      <c r="P81" s="2">
        <v>4</v>
      </c>
      <c r="Q81" s="2" t="s">
        <v>94</v>
      </c>
      <c r="R81" s="2">
        <v>1</v>
      </c>
      <c r="S81" s="2">
        <v>2</v>
      </c>
      <c r="T81" s="2">
        <v>0</v>
      </c>
      <c r="U81" s="2"/>
      <c r="V81" s="2"/>
      <c r="W81" s="2"/>
      <c r="X81" s="2"/>
      <c r="Y81" s="3" t="s">
        <v>469</v>
      </c>
      <c r="Z81" s="3" t="s">
        <v>470</v>
      </c>
      <c r="AA81" s="2">
        <f>IF(OR(D81="Monster", E81="Basic"), 0, ROUND((MIN(IFERROR(VLOOKUP(G81, Relic_Price_Config!$A$5:$E$9, 4, FALSE), 350), MAX(IFERROR(VLOOKUP(G81, Relic_Price_Config!$A$5:$E$9, 3, FALSE), 210), ROUND((IFERROR(VLOOKUP(H81, Relic_Price_Config!$G$5:$N$100, 4, FALSE), 280) + N(L81) * IF(N(O81)&gt;1, N(O81), 1) * IFERROR(VLOOKUP(H81, Relic_Price_Config!$G$5:$N$100, 5, FALSE), 10) + ABS(N(R81)) * IFERROR(VLOOKUP(H81, Relic_Price_Config!$G$5:$N$100, 6, FALSE), 15) + IF(N(S81)&gt;1, (N(S81)-1)*10, 0)) * IFERROR(VLOOKUP(G81, Relic_Price_Config!$A$5:$E$9, 2, FALSE), 1), 0))) * 0.1) / 5, 0) * 5)</f>
        <v>55</v>
      </c>
      <c r="AB81" s="2">
        <f t="shared" si="1"/>
        <v>40</v>
      </c>
    </row>
    <row r="82" spans="1:28" ht="27.6" customHeight="1">
      <c r="A82" s="5" t="s">
        <v>471</v>
      </c>
      <c r="B82" s="5" t="s">
        <v>472</v>
      </c>
      <c r="C82" s="9" t="s">
        <v>473</v>
      </c>
      <c r="D82" s="5" t="s">
        <v>59</v>
      </c>
      <c r="E82" s="2" t="s">
        <v>115</v>
      </c>
      <c r="F82" s="5" t="s">
        <v>33</v>
      </c>
      <c r="G82" s="5" t="s">
        <v>208</v>
      </c>
      <c r="H82" s="5" t="s">
        <v>474</v>
      </c>
      <c r="I82" s="5" t="s">
        <v>108</v>
      </c>
      <c r="J82" s="5">
        <v>0</v>
      </c>
      <c r="K82" s="5">
        <v>1</v>
      </c>
      <c r="L82" s="5">
        <v>9</v>
      </c>
      <c r="M82" s="5" t="s">
        <v>37</v>
      </c>
      <c r="N82" s="5">
        <v>1</v>
      </c>
      <c r="O82" s="5">
        <v>1</v>
      </c>
      <c r="P82" s="5">
        <v>7</v>
      </c>
      <c r="Q82" s="5"/>
      <c r="R82" s="5">
        <v>0</v>
      </c>
      <c r="S82" s="5">
        <v>0</v>
      </c>
      <c r="T82" s="5">
        <v>0</v>
      </c>
      <c r="U82" s="5"/>
      <c r="V82" s="5"/>
      <c r="W82" s="5"/>
      <c r="X82" s="5"/>
      <c r="Y82" s="6" t="s">
        <v>475</v>
      </c>
      <c r="Z82" s="6" t="s">
        <v>476</v>
      </c>
      <c r="AA82" s="5">
        <f>IF(OR(D82="Monster", E82="Basic"), 0, ROUND((MIN(IFERROR(VLOOKUP(G82, Relic_Price_Config!$A$5:$E$9, 4, FALSE), 350), MAX(IFERROR(VLOOKUP(G82, Relic_Price_Config!$A$5:$E$9, 3, FALSE), 210), ROUND((IFERROR(VLOOKUP(H82, Relic_Price_Config!$G$5:$N$100, 4, FALSE), 280) + N(L82) * IF(N(O82)&gt;1, N(O82), 1) * IFERROR(VLOOKUP(H82, Relic_Price_Config!$G$5:$N$100, 5, FALSE), 10) + ABS(N(R82)) * IFERROR(VLOOKUP(H82, Relic_Price_Config!$G$5:$N$100, 6, FALSE), 15) + IF(N(S82)&gt;1, (N(S82)-1)*10, 0)) * IFERROR(VLOOKUP(G82, Relic_Price_Config!$A$5:$E$9, 2, FALSE), 1), 0))) * 0.1) / 5, 0) * 5)</f>
        <v>50</v>
      </c>
      <c r="AB82" s="5">
        <f t="shared" si="1"/>
        <v>35</v>
      </c>
    </row>
    <row r="83" spans="1:28" ht="24" customHeight="1">
      <c r="A83" s="2" t="s">
        <v>477</v>
      </c>
      <c r="B83" s="2" t="s">
        <v>478</v>
      </c>
      <c r="C83" s="3" t="s">
        <v>479</v>
      </c>
      <c r="D83" s="2" t="s">
        <v>59</v>
      </c>
      <c r="E83" s="2" t="s">
        <v>115</v>
      </c>
      <c r="F83" s="2" t="s">
        <v>33</v>
      </c>
      <c r="G83" s="2" t="s">
        <v>208</v>
      </c>
      <c r="H83" s="2" t="s">
        <v>174</v>
      </c>
      <c r="I83" s="2" t="s">
        <v>108</v>
      </c>
      <c r="J83" s="2">
        <v>0</v>
      </c>
      <c r="K83" s="2">
        <v>1</v>
      </c>
      <c r="L83" s="2">
        <v>4</v>
      </c>
      <c r="M83" s="2" t="s">
        <v>37</v>
      </c>
      <c r="N83" s="2">
        <v>1</v>
      </c>
      <c r="O83" s="2">
        <v>3</v>
      </c>
      <c r="P83" s="2">
        <v>0</v>
      </c>
      <c r="Q83" s="2"/>
      <c r="R83" s="2">
        <v>0</v>
      </c>
      <c r="S83" s="2">
        <v>0</v>
      </c>
      <c r="T83" s="2">
        <v>0</v>
      </c>
      <c r="U83" s="2"/>
      <c r="V83" s="2"/>
      <c r="W83" s="2"/>
      <c r="X83" s="2"/>
      <c r="Y83" s="3" t="s">
        <v>480</v>
      </c>
      <c r="Z83" s="3" t="s">
        <v>481</v>
      </c>
      <c r="AA83" s="2">
        <f>IF(OR(D83="Monster", E83="Basic"), 0, ROUND((MIN(IFERROR(VLOOKUP(G83, Relic_Price_Config!$A$5:$E$9, 4, FALSE), 350), MAX(IFERROR(VLOOKUP(G83, Relic_Price_Config!$A$5:$E$9, 3, FALSE), 210), ROUND((IFERROR(VLOOKUP(H83, Relic_Price_Config!$G$5:$N$100, 4, FALSE), 280) + N(L83) * IF(N(O83)&gt;1, N(O83), 1) * IFERROR(VLOOKUP(H83, Relic_Price_Config!$G$5:$N$100, 5, FALSE), 10) + ABS(N(R83)) * IFERROR(VLOOKUP(H83, Relic_Price_Config!$G$5:$N$100, 6, FALSE), 15) + IF(N(S83)&gt;1, (N(S83)-1)*10, 0)) * IFERROR(VLOOKUP(G83, Relic_Price_Config!$A$5:$E$9, 2, FALSE), 1), 0))) * 0.1) / 5, 0) * 5)</f>
        <v>50</v>
      </c>
      <c r="AB83" s="2">
        <f t="shared" si="1"/>
        <v>35</v>
      </c>
    </row>
    <row r="84" spans="1:28" ht="24" customHeight="1">
      <c r="A84" s="5" t="s">
        <v>482</v>
      </c>
      <c r="B84" s="5" t="s">
        <v>483</v>
      </c>
      <c r="C84" s="9" t="s">
        <v>484</v>
      </c>
      <c r="D84" s="5" t="s">
        <v>59</v>
      </c>
      <c r="E84" s="2" t="s">
        <v>115</v>
      </c>
      <c r="F84" s="5" t="s">
        <v>33</v>
      </c>
      <c r="G84" s="5" t="s">
        <v>208</v>
      </c>
      <c r="H84" s="5" t="s">
        <v>309</v>
      </c>
      <c r="I84" s="5" t="s">
        <v>108</v>
      </c>
      <c r="J84" s="5">
        <v>0</v>
      </c>
      <c r="K84" s="5">
        <v>1</v>
      </c>
      <c r="L84" s="5">
        <v>10</v>
      </c>
      <c r="M84" s="5" t="s">
        <v>37</v>
      </c>
      <c r="N84" s="5">
        <v>1</v>
      </c>
      <c r="O84" s="5">
        <v>1</v>
      </c>
      <c r="P84" s="5">
        <v>0</v>
      </c>
      <c r="Q84" s="5" t="s">
        <v>130</v>
      </c>
      <c r="R84" s="5">
        <v>2</v>
      </c>
      <c r="S84" s="5">
        <v>2</v>
      </c>
      <c r="T84" s="5">
        <v>0</v>
      </c>
      <c r="U84" s="5"/>
      <c r="V84" s="5"/>
      <c r="W84" s="5"/>
      <c r="X84" s="5"/>
      <c r="Y84" s="6" t="s">
        <v>485</v>
      </c>
      <c r="Z84" s="6" t="s">
        <v>481</v>
      </c>
      <c r="AA84" s="5">
        <f>IF(OR(D84="Monster", E84="Basic"), 0, ROUND((MIN(IFERROR(VLOOKUP(G84, Relic_Price_Config!$A$5:$E$9, 4, FALSE), 350), MAX(IFERROR(VLOOKUP(G84, Relic_Price_Config!$A$5:$E$9, 3, FALSE), 210), ROUND((IFERROR(VLOOKUP(H84, Relic_Price_Config!$G$5:$N$100, 4, FALSE), 280) + N(L84) * IF(N(O84)&gt;1, N(O84), 1) * IFERROR(VLOOKUP(H84, Relic_Price_Config!$G$5:$N$100, 5, FALSE), 10) + ABS(N(R84)) * IFERROR(VLOOKUP(H84, Relic_Price_Config!$G$5:$N$100, 6, FALSE), 15) + IF(N(S84)&gt;1, (N(S84)-1)*10, 0)) * IFERROR(VLOOKUP(G84, Relic_Price_Config!$A$5:$E$9, 2, FALSE), 1), 0))) * 0.1) / 5, 0) * 5)</f>
        <v>55</v>
      </c>
      <c r="AB84" s="5">
        <f t="shared" si="1"/>
        <v>40</v>
      </c>
    </row>
    <row r="85" spans="1:28" ht="17.25" customHeight="1">
      <c r="A85" s="2" t="s">
        <v>486</v>
      </c>
      <c r="B85" s="2" t="s">
        <v>487</v>
      </c>
      <c r="C85" s="3" t="s">
        <v>488</v>
      </c>
      <c r="D85" s="2" t="s">
        <v>59</v>
      </c>
      <c r="E85" s="2" t="s">
        <v>115</v>
      </c>
      <c r="F85" s="2" t="s">
        <v>33</v>
      </c>
      <c r="G85" s="2" t="s">
        <v>208</v>
      </c>
      <c r="H85" s="2" t="s">
        <v>489</v>
      </c>
      <c r="I85" s="2" t="s">
        <v>108</v>
      </c>
      <c r="J85" s="2">
        <v>0</v>
      </c>
      <c r="K85" s="2">
        <v>1</v>
      </c>
      <c r="L85" s="2">
        <v>8</v>
      </c>
      <c r="M85" s="2" t="s">
        <v>37</v>
      </c>
      <c r="N85" s="2">
        <v>1</v>
      </c>
      <c r="O85" s="2">
        <v>1</v>
      </c>
      <c r="P85" s="2">
        <v>0</v>
      </c>
      <c r="Q85" s="2" t="s">
        <v>109</v>
      </c>
      <c r="R85" s="2">
        <v>4</v>
      </c>
      <c r="S85" s="2">
        <v>2</v>
      </c>
      <c r="T85" s="2">
        <v>0</v>
      </c>
      <c r="U85" s="2"/>
      <c r="V85" s="2"/>
      <c r="W85" s="2"/>
      <c r="X85" s="2"/>
      <c r="Y85" s="3" t="s">
        <v>490</v>
      </c>
      <c r="Z85" s="3" t="s">
        <v>481</v>
      </c>
      <c r="AA85" s="2">
        <f>IF(OR(D85="Monster", E85="Basic"), 0, ROUND((MIN(IFERROR(VLOOKUP(G85, Relic_Price_Config!$A$5:$E$9, 4, FALSE), 350), MAX(IFERROR(VLOOKUP(G85, Relic_Price_Config!$A$5:$E$9, 3, FALSE), 210), ROUND((IFERROR(VLOOKUP(H85, Relic_Price_Config!$G$5:$N$100, 4, FALSE), 280) + N(L85) * IF(N(O85)&gt;1, N(O85), 1) * IFERROR(VLOOKUP(H85, Relic_Price_Config!$G$5:$N$100, 5, FALSE), 10) + ABS(N(R85)) * IFERROR(VLOOKUP(H85, Relic_Price_Config!$G$5:$N$100, 6, FALSE), 15) + IF(N(S85)&gt;1, (N(S85)-1)*10, 0)) * IFERROR(VLOOKUP(G85, Relic_Price_Config!$A$5:$E$9, 2, FALSE), 1), 0))) * 0.1) / 5, 0) * 5)</f>
        <v>55</v>
      </c>
      <c r="AB85" s="2">
        <f t="shared" si="1"/>
        <v>40</v>
      </c>
    </row>
    <row r="86" spans="1:28" ht="17.25" customHeight="1">
      <c r="A86" s="5" t="s">
        <v>491</v>
      </c>
      <c r="B86" s="5" t="s">
        <v>492</v>
      </c>
      <c r="C86" s="9" t="s">
        <v>493</v>
      </c>
      <c r="D86" s="5" t="s">
        <v>59</v>
      </c>
      <c r="E86" s="2" t="s">
        <v>115</v>
      </c>
      <c r="F86" s="5" t="s">
        <v>33</v>
      </c>
      <c r="G86" s="5" t="s">
        <v>208</v>
      </c>
      <c r="H86" s="5" t="s">
        <v>362</v>
      </c>
      <c r="I86" s="5" t="s">
        <v>108</v>
      </c>
      <c r="J86" s="5">
        <v>0</v>
      </c>
      <c r="K86" s="5">
        <v>1</v>
      </c>
      <c r="L86" s="5">
        <v>9</v>
      </c>
      <c r="M86" s="5" t="s">
        <v>37</v>
      </c>
      <c r="N86" s="5">
        <v>1</v>
      </c>
      <c r="O86" s="5">
        <v>1</v>
      </c>
      <c r="P86" s="5">
        <v>0</v>
      </c>
      <c r="Q86" s="5" t="s">
        <v>180</v>
      </c>
      <c r="R86" s="5">
        <v>3</v>
      </c>
      <c r="S86" s="5">
        <v>2</v>
      </c>
      <c r="T86" s="5">
        <v>0</v>
      </c>
      <c r="U86" s="5"/>
      <c r="V86" s="5"/>
      <c r="W86" s="5"/>
      <c r="X86" s="5"/>
      <c r="Y86" s="6" t="s">
        <v>494</v>
      </c>
      <c r="Z86" s="6" t="s">
        <v>495</v>
      </c>
      <c r="AA86" s="5">
        <f>IF(OR(D86="Monster", E86="Basic"), 0, ROUND((MIN(IFERROR(VLOOKUP(G86, Relic_Price_Config!$A$5:$E$9, 4, FALSE), 350), MAX(IFERROR(VLOOKUP(G86, Relic_Price_Config!$A$5:$E$9, 3, FALSE), 210), ROUND((IFERROR(VLOOKUP(H86, Relic_Price_Config!$G$5:$N$100, 4, FALSE), 280) + N(L86) * IF(N(O86)&gt;1, N(O86), 1) * IFERROR(VLOOKUP(H86, Relic_Price_Config!$G$5:$N$100, 5, FALSE), 10) + ABS(N(R86)) * IFERROR(VLOOKUP(H86, Relic_Price_Config!$G$5:$N$100, 6, FALSE), 15) + IF(N(S86)&gt;1, (N(S86)-1)*10, 0)) * IFERROR(VLOOKUP(G86, Relic_Price_Config!$A$5:$E$9, 2, FALSE), 1), 0))) * 0.1) / 5, 0) * 5)</f>
        <v>55</v>
      </c>
      <c r="AB86" s="5">
        <f t="shared" si="1"/>
        <v>40</v>
      </c>
    </row>
    <row r="87" spans="1:28" ht="17.25" customHeight="1">
      <c r="A87" s="2" t="s">
        <v>496</v>
      </c>
      <c r="B87" s="2" t="s">
        <v>497</v>
      </c>
      <c r="C87" s="3" t="s">
        <v>498</v>
      </c>
      <c r="D87" s="2" t="s">
        <v>59</v>
      </c>
      <c r="E87" s="2" t="s">
        <v>115</v>
      </c>
      <c r="F87" s="2" t="s">
        <v>33</v>
      </c>
      <c r="G87" s="2" t="s">
        <v>208</v>
      </c>
      <c r="H87" s="2" t="s">
        <v>356</v>
      </c>
      <c r="I87" s="2" t="s">
        <v>108</v>
      </c>
      <c r="J87" s="2">
        <v>0</v>
      </c>
      <c r="K87" s="2">
        <v>1</v>
      </c>
      <c r="L87" s="2">
        <v>9</v>
      </c>
      <c r="M87" s="2" t="s">
        <v>37</v>
      </c>
      <c r="N87" s="2">
        <v>1</v>
      </c>
      <c r="O87" s="2">
        <v>1</v>
      </c>
      <c r="P87" s="2">
        <v>0</v>
      </c>
      <c r="Q87" s="2" t="s">
        <v>357</v>
      </c>
      <c r="R87" s="2">
        <v>1</v>
      </c>
      <c r="S87" s="2">
        <v>2</v>
      </c>
      <c r="T87" s="2">
        <v>0</v>
      </c>
      <c r="U87" s="2"/>
      <c r="V87" s="2"/>
      <c r="W87" s="2"/>
      <c r="X87" s="2"/>
      <c r="Y87" s="3" t="s">
        <v>499</v>
      </c>
      <c r="Z87" s="3" t="s">
        <v>495</v>
      </c>
      <c r="AA87" s="2">
        <f>IF(OR(D87="Monster", E87="Basic"), 0, ROUND((MIN(IFERROR(VLOOKUP(G87, Relic_Price_Config!$A$5:$E$9, 4, FALSE), 350), MAX(IFERROR(VLOOKUP(G87, Relic_Price_Config!$A$5:$E$9, 3, FALSE), 210), ROUND((IFERROR(VLOOKUP(H87, Relic_Price_Config!$G$5:$N$100, 4, FALSE), 280) + N(L87) * IF(N(O87)&gt;1, N(O87), 1) * IFERROR(VLOOKUP(H87, Relic_Price_Config!$G$5:$N$100, 5, FALSE), 10) + ABS(N(R87)) * IFERROR(VLOOKUP(H87, Relic_Price_Config!$G$5:$N$100, 6, FALSE), 15) + IF(N(S87)&gt;1, (N(S87)-1)*10, 0)) * IFERROR(VLOOKUP(G87, Relic_Price_Config!$A$5:$E$9, 2, FALSE), 1), 0))) * 0.1) / 5, 0) * 5)</f>
        <v>50</v>
      </c>
      <c r="AB87" s="2">
        <f t="shared" si="1"/>
        <v>35</v>
      </c>
    </row>
    <row r="88" spans="1:28" ht="17.25" customHeight="1">
      <c r="A88" s="5" t="s">
        <v>500</v>
      </c>
      <c r="B88" s="5" t="s">
        <v>501</v>
      </c>
      <c r="C88" s="9" t="s">
        <v>502</v>
      </c>
      <c r="D88" s="5" t="s">
        <v>59</v>
      </c>
      <c r="E88" s="2" t="s">
        <v>115</v>
      </c>
      <c r="F88" s="5" t="s">
        <v>43</v>
      </c>
      <c r="G88" s="5" t="s">
        <v>208</v>
      </c>
      <c r="H88" s="5" t="s">
        <v>503</v>
      </c>
      <c r="I88" s="5" t="s">
        <v>504</v>
      </c>
      <c r="J88" s="5">
        <v>0</v>
      </c>
      <c r="K88" s="5">
        <v>1</v>
      </c>
      <c r="L88" s="5">
        <v>8</v>
      </c>
      <c r="M88" s="5" t="s">
        <v>46</v>
      </c>
      <c r="N88" s="5">
        <v>1</v>
      </c>
      <c r="O88" s="5">
        <v>1</v>
      </c>
      <c r="P88" s="5">
        <v>0</v>
      </c>
      <c r="Q88" s="5" t="s">
        <v>229</v>
      </c>
      <c r="R88" s="5">
        <v>1</v>
      </c>
      <c r="S88" s="5">
        <v>2</v>
      </c>
      <c r="T88" s="5">
        <v>0</v>
      </c>
      <c r="U88" s="5"/>
      <c r="V88" s="5"/>
      <c r="W88" s="5"/>
      <c r="X88" s="5"/>
      <c r="Y88" s="6" t="s">
        <v>505</v>
      </c>
      <c r="Z88" s="6" t="s">
        <v>495</v>
      </c>
      <c r="AA88" s="5">
        <f>IF(OR(D88="Monster", E88="Basic"), 0, ROUND((MIN(IFERROR(VLOOKUP(G88, Relic_Price_Config!$A$5:$E$9, 4, FALSE), 350), MAX(IFERROR(VLOOKUP(G88, Relic_Price_Config!$A$5:$E$9, 3, FALSE), 210), ROUND((IFERROR(VLOOKUP(H88, Relic_Price_Config!$G$5:$N$100, 4, FALSE), 280) + N(L88) * IF(N(O88)&gt;1, N(O88), 1) * IFERROR(VLOOKUP(H88, Relic_Price_Config!$G$5:$N$100, 5, FALSE), 10) + ABS(N(R88)) * IFERROR(VLOOKUP(H88, Relic_Price_Config!$G$5:$N$100, 6, FALSE), 15) + IF(N(S88)&gt;1, (N(S88)-1)*10, 0)) * IFERROR(VLOOKUP(G88, Relic_Price_Config!$A$5:$E$9, 2, FALSE), 1), 0))) * 0.1) / 5, 0) * 5)</f>
        <v>55</v>
      </c>
      <c r="AB88" s="5">
        <f t="shared" si="1"/>
        <v>40</v>
      </c>
    </row>
    <row r="89" spans="1:28" ht="17.25" customHeight="1">
      <c r="A89" s="2" t="s">
        <v>506</v>
      </c>
      <c r="B89" s="2" t="s">
        <v>507</v>
      </c>
      <c r="C89" s="3" t="s">
        <v>508</v>
      </c>
      <c r="D89" s="2" t="s">
        <v>59</v>
      </c>
      <c r="E89" s="2" t="s">
        <v>115</v>
      </c>
      <c r="F89" s="2" t="s">
        <v>51</v>
      </c>
      <c r="G89" s="2" t="s">
        <v>208</v>
      </c>
      <c r="H89" s="2" t="s">
        <v>509</v>
      </c>
      <c r="I89" s="2" t="s">
        <v>45</v>
      </c>
      <c r="J89" s="2">
        <v>0</v>
      </c>
      <c r="K89" s="2">
        <v>1</v>
      </c>
      <c r="L89" s="2">
        <v>1</v>
      </c>
      <c r="M89" s="2"/>
      <c r="N89" s="2">
        <v>0</v>
      </c>
      <c r="O89" s="2">
        <v>1</v>
      </c>
      <c r="P89" s="2">
        <v>0</v>
      </c>
      <c r="Q89" s="2" t="s">
        <v>71</v>
      </c>
      <c r="R89" s="2">
        <v>2</v>
      </c>
      <c r="S89" s="2">
        <v>2</v>
      </c>
      <c r="T89" s="2">
        <v>0</v>
      </c>
      <c r="U89" s="2"/>
      <c r="V89" s="2"/>
      <c r="W89" s="2"/>
      <c r="X89" s="2"/>
      <c r="Y89" s="3" t="s">
        <v>510</v>
      </c>
      <c r="Z89" s="3" t="s">
        <v>511</v>
      </c>
      <c r="AA89" s="2">
        <f>IF(OR(D89="Monster", E89="Basic"), 0, ROUND((MIN(IFERROR(VLOOKUP(G89, Relic_Price_Config!$A$5:$E$9, 4, FALSE), 350), MAX(IFERROR(VLOOKUP(G89, Relic_Price_Config!$A$5:$E$9, 3, FALSE), 210), ROUND((IFERROR(VLOOKUP(H89, Relic_Price_Config!$G$5:$N$100, 4, FALSE), 280) + N(L89) * IF(N(O89)&gt;1, N(O89), 1) * IFERROR(VLOOKUP(H89, Relic_Price_Config!$G$5:$N$100, 5, FALSE), 10) + ABS(N(R89)) * IFERROR(VLOOKUP(H89, Relic_Price_Config!$G$5:$N$100, 6, FALSE), 15) + IF(N(S89)&gt;1, (N(S89)-1)*10, 0)) * IFERROR(VLOOKUP(G89, Relic_Price_Config!$A$5:$E$9, 2, FALSE), 1), 0))) * 0.1) / 5, 0) * 5)</f>
        <v>55</v>
      </c>
      <c r="AB89" s="2">
        <f t="shared" si="1"/>
        <v>40</v>
      </c>
    </row>
    <row r="90" spans="1:28" ht="17.25" customHeight="1">
      <c r="A90" s="5" t="s">
        <v>512</v>
      </c>
      <c r="B90" s="5" t="s">
        <v>513</v>
      </c>
      <c r="C90" s="9" t="s">
        <v>514</v>
      </c>
      <c r="D90" s="5" t="s">
        <v>59</v>
      </c>
      <c r="E90" s="2" t="s">
        <v>115</v>
      </c>
      <c r="F90" s="5" t="s">
        <v>43</v>
      </c>
      <c r="G90" s="5" t="s">
        <v>208</v>
      </c>
      <c r="H90" s="5" t="s">
        <v>52</v>
      </c>
      <c r="I90" s="5" t="s">
        <v>45</v>
      </c>
      <c r="J90" s="5">
        <v>0</v>
      </c>
      <c r="K90" s="5">
        <v>1</v>
      </c>
      <c r="L90" s="5">
        <v>12</v>
      </c>
      <c r="M90" s="5" t="s">
        <v>46</v>
      </c>
      <c r="N90" s="5">
        <v>1</v>
      </c>
      <c r="O90" s="5">
        <v>1</v>
      </c>
      <c r="P90" s="5">
        <v>4</v>
      </c>
      <c r="Q90" s="5" t="s">
        <v>53</v>
      </c>
      <c r="R90" s="5">
        <v>1</v>
      </c>
      <c r="S90" s="5">
        <v>1</v>
      </c>
      <c r="T90" s="5">
        <v>0</v>
      </c>
      <c r="U90" s="5"/>
      <c r="V90" s="5"/>
      <c r="W90" s="5"/>
      <c r="X90" s="5"/>
      <c r="Y90" s="6" t="s">
        <v>515</v>
      </c>
      <c r="Z90" s="6" t="s">
        <v>516</v>
      </c>
      <c r="AA90" s="5">
        <f>IF(OR(D90="Monster", E90="Basic"), 0, ROUND((MIN(IFERROR(VLOOKUP(G90, Relic_Price_Config!$A$5:$E$9, 4, FALSE), 350), MAX(IFERROR(VLOOKUP(G90, Relic_Price_Config!$A$5:$E$9, 3, FALSE), 210), ROUND((IFERROR(VLOOKUP(H90, Relic_Price_Config!$G$5:$N$100, 4, FALSE), 280) + N(L90) * IF(N(O90)&gt;1, N(O90), 1) * IFERROR(VLOOKUP(H90, Relic_Price_Config!$G$5:$N$100, 5, FALSE), 10) + ABS(N(R90)) * IFERROR(VLOOKUP(H90, Relic_Price_Config!$G$5:$N$100, 6, FALSE), 15) + IF(N(S90)&gt;1, (N(S90)-1)*10, 0)) * IFERROR(VLOOKUP(G90, Relic_Price_Config!$A$5:$E$9, 2, FALSE), 1), 0))) * 0.1) / 5, 0) * 5)</f>
        <v>55</v>
      </c>
      <c r="AB90" s="5">
        <f t="shared" si="1"/>
        <v>40</v>
      </c>
    </row>
    <row r="91" spans="1:28" ht="17.25" customHeight="1">
      <c r="A91" s="2" t="s">
        <v>517</v>
      </c>
      <c r="B91" s="2" t="s">
        <v>518</v>
      </c>
      <c r="C91" s="3" t="s">
        <v>519</v>
      </c>
      <c r="D91" s="2" t="s">
        <v>59</v>
      </c>
      <c r="E91" s="2" t="s">
        <v>115</v>
      </c>
      <c r="F91" s="2" t="s">
        <v>51</v>
      </c>
      <c r="G91" s="2" t="s">
        <v>208</v>
      </c>
      <c r="H91" s="2" t="s">
        <v>520</v>
      </c>
      <c r="I91" s="2" t="s">
        <v>504</v>
      </c>
      <c r="J91" s="2">
        <v>0</v>
      </c>
      <c r="K91" s="2">
        <v>1</v>
      </c>
      <c r="L91" s="2">
        <v>0</v>
      </c>
      <c r="M91" s="2"/>
      <c r="N91" s="2">
        <v>0</v>
      </c>
      <c r="O91" s="2">
        <v>1</v>
      </c>
      <c r="P91" s="2">
        <v>0</v>
      </c>
      <c r="Q91" s="2" t="s">
        <v>71</v>
      </c>
      <c r="R91" s="2">
        <v>2</v>
      </c>
      <c r="S91" s="2">
        <v>2</v>
      </c>
      <c r="T91" s="2">
        <v>0</v>
      </c>
      <c r="U91" s="2"/>
      <c r="V91" s="2"/>
      <c r="W91" s="2"/>
      <c r="X91" s="2"/>
      <c r="Y91" s="3" t="s">
        <v>521</v>
      </c>
      <c r="Z91" s="3" t="s">
        <v>511</v>
      </c>
      <c r="AA91" s="2">
        <f>IF(OR(D91="Monster", E91="Basic"), 0, ROUND((MIN(IFERROR(VLOOKUP(G91, Relic_Price_Config!$A$5:$E$9, 4, FALSE), 350), MAX(IFERROR(VLOOKUP(G91, Relic_Price_Config!$A$5:$E$9, 3, FALSE), 210), ROUND((IFERROR(VLOOKUP(H91, Relic_Price_Config!$G$5:$N$100, 4, FALSE), 280) + N(L91) * IF(N(O91)&gt;1, N(O91), 1) * IFERROR(VLOOKUP(H91, Relic_Price_Config!$G$5:$N$100, 5, FALSE), 10) + ABS(N(R91)) * IFERROR(VLOOKUP(H91, Relic_Price_Config!$G$5:$N$100, 6, FALSE), 15) + IF(N(S91)&gt;1, (N(S91)-1)*10, 0)) * IFERROR(VLOOKUP(G91, Relic_Price_Config!$A$5:$E$9, 2, FALSE), 1), 0))) * 0.1) / 5, 0) * 5)</f>
        <v>55</v>
      </c>
      <c r="AB91" s="2">
        <f t="shared" si="1"/>
        <v>40</v>
      </c>
    </row>
    <row r="92" spans="1:28" ht="17.25" customHeight="1">
      <c r="A92" s="5" t="s">
        <v>522</v>
      </c>
      <c r="B92" s="5" t="s">
        <v>523</v>
      </c>
      <c r="C92" s="9" t="s">
        <v>524</v>
      </c>
      <c r="D92" s="5" t="s">
        <v>59</v>
      </c>
      <c r="E92" s="2" t="s">
        <v>115</v>
      </c>
      <c r="F92" s="5" t="s">
        <v>33</v>
      </c>
      <c r="G92" s="5" t="s">
        <v>208</v>
      </c>
      <c r="H92" s="5" t="s">
        <v>93</v>
      </c>
      <c r="I92" s="5" t="s">
        <v>36</v>
      </c>
      <c r="J92" s="5">
        <v>0</v>
      </c>
      <c r="K92" s="5">
        <v>1</v>
      </c>
      <c r="L92" s="5">
        <v>14</v>
      </c>
      <c r="M92" s="5" t="s">
        <v>37</v>
      </c>
      <c r="N92" s="5">
        <v>1</v>
      </c>
      <c r="O92" s="5">
        <v>1</v>
      </c>
      <c r="P92" s="5">
        <v>0</v>
      </c>
      <c r="Q92" s="5" t="s">
        <v>94</v>
      </c>
      <c r="R92" s="5">
        <v>1</v>
      </c>
      <c r="S92" s="5">
        <v>2</v>
      </c>
      <c r="T92" s="5">
        <v>0</v>
      </c>
      <c r="U92" s="5"/>
      <c r="V92" s="5"/>
      <c r="W92" s="5"/>
      <c r="X92" s="5"/>
      <c r="Y92" s="6" t="s">
        <v>525</v>
      </c>
      <c r="Z92" s="6" t="s">
        <v>526</v>
      </c>
      <c r="AA92" s="5">
        <f>IF(OR(D92="Monster", E92="Basic"), 0, ROUND((MIN(IFERROR(VLOOKUP(G92, Relic_Price_Config!$A$5:$E$9, 4, FALSE), 350), MAX(IFERROR(VLOOKUP(G92, Relic_Price_Config!$A$5:$E$9, 3, FALSE), 210), ROUND((IFERROR(VLOOKUP(H92, Relic_Price_Config!$G$5:$N$100, 4, FALSE), 280) + N(L92) * IF(N(O92)&gt;1, N(O92), 1) * IFERROR(VLOOKUP(H92, Relic_Price_Config!$G$5:$N$100, 5, FALSE), 10) + ABS(N(R92)) * IFERROR(VLOOKUP(H92, Relic_Price_Config!$G$5:$N$100, 6, FALSE), 15) + IF(N(S92)&gt;1, (N(S92)-1)*10, 0)) * IFERROR(VLOOKUP(G92, Relic_Price_Config!$A$5:$E$9, 2, FALSE), 1), 0))) * 0.1) / 5, 0) * 5)</f>
        <v>55</v>
      </c>
      <c r="AB92" s="5">
        <f t="shared" si="1"/>
        <v>40</v>
      </c>
    </row>
    <row r="93" spans="1:28" ht="17.25" customHeight="1">
      <c r="A93" s="2" t="s">
        <v>527</v>
      </c>
      <c r="B93" s="2" t="s">
        <v>528</v>
      </c>
      <c r="C93" s="3" t="s">
        <v>529</v>
      </c>
      <c r="D93" s="2" t="s">
        <v>59</v>
      </c>
      <c r="E93" s="2" t="s">
        <v>115</v>
      </c>
      <c r="F93" s="2" t="s">
        <v>43</v>
      </c>
      <c r="G93" s="2" t="s">
        <v>208</v>
      </c>
      <c r="H93" s="2" t="s">
        <v>250</v>
      </c>
      <c r="I93" s="2" t="s">
        <v>45</v>
      </c>
      <c r="J93" s="2">
        <v>0</v>
      </c>
      <c r="K93" s="2">
        <v>1</v>
      </c>
      <c r="L93" s="2">
        <v>12</v>
      </c>
      <c r="M93" s="2" t="s">
        <v>46</v>
      </c>
      <c r="N93" s="2">
        <v>1</v>
      </c>
      <c r="O93" s="2">
        <v>1</v>
      </c>
      <c r="P93" s="2">
        <v>0</v>
      </c>
      <c r="Q93" s="2" t="s">
        <v>251</v>
      </c>
      <c r="R93" s="2">
        <v>20</v>
      </c>
      <c r="S93" s="2">
        <v>1</v>
      </c>
      <c r="T93" s="2">
        <v>0</v>
      </c>
      <c r="U93" s="2"/>
      <c r="V93" s="2"/>
      <c r="W93" s="2"/>
      <c r="X93" s="2"/>
      <c r="Y93" s="3" t="s">
        <v>530</v>
      </c>
      <c r="Z93" s="3" t="s">
        <v>526</v>
      </c>
      <c r="AA93" s="2">
        <f>IF(OR(D93="Monster", E93="Basic"), 0, ROUND((MIN(IFERROR(VLOOKUP(G93, Relic_Price_Config!$A$5:$E$9, 4, FALSE), 350), MAX(IFERROR(VLOOKUP(G93, Relic_Price_Config!$A$5:$E$9, 3, FALSE), 210), ROUND((IFERROR(VLOOKUP(H93, Relic_Price_Config!$G$5:$N$100, 4, FALSE), 280) + N(L93) * IF(N(O93)&gt;1, N(O93), 1) * IFERROR(VLOOKUP(H93, Relic_Price_Config!$G$5:$N$100, 5, FALSE), 10) + ABS(N(R93)) * IFERROR(VLOOKUP(H93, Relic_Price_Config!$G$5:$N$100, 6, FALSE), 15) + IF(N(S93)&gt;1, (N(S93)-1)*10, 0)) * IFERROR(VLOOKUP(G93, Relic_Price_Config!$A$5:$E$9, 2, FALSE), 1), 0))) * 0.1) / 5, 0) * 5)</f>
        <v>55</v>
      </c>
      <c r="AB93" s="2">
        <f t="shared" si="1"/>
        <v>40</v>
      </c>
    </row>
    <row r="94" spans="1:28" ht="17.25" customHeight="1">
      <c r="A94" s="5" t="s">
        <v>531</v>
      </c>
      <c r="B94" s="5" t="s">
        <v>532</v>
      </c>
      <c r="C94" s="9" t="s">
        <v>533</v>
      </c>
      <c r="D94" s="5" t="s">
        <v>59</v>
      </c>
      <c r="E94" s="2" t="s">
        <v>115</v>
      </c>
      <c r="F94" s="5" t="s">
        <v>33</v>
      </c>
      <c r="G94" s="5" t="s">
        <v>208</v>
      </c>
      <c r="H94" s="5" t="s">
        <v>534</v>
      </c>
      <c r="I94" s="5" t="s">
        <v>36</v>
      </c>
      <c r="J94" s="5">
        <v>0</v>
      </c>
      <c r="K94" s="5">
        <v>1</v>
      </c>
      <c r="L94" s="5">
        <v>19</v>
      </c>
      <c r="M94" s="5" t="s">
        <v>37</v>
      </c>
      <c r="N94" s="5">
        <v>1</v>
      </c>
      <c r="O94" s="5">
        <v>1</v>
      </c>
      <c r="P94" s="5">
        <v>0</v>
      </c>
      <c r="Q94" s="5" t="s">
        <v>19</v>
      </c>
      <c r="R94" s="5">
        <v>4</v>
      </c>
      <c r="S94" s="5">
        <v>0</v>
      </c>
      <c r="T94" s="5">
        <v>4</v>
      </c>
      <c r="U94" s="5"/>
      <c r="V94" s="5"/>
      <c r="W94" s="5"/>
      <c r="X94" s="5"/>
      <c r="Y94" s="6" t="s">
        <v>535</v>
      </c>
      <c r="Z94" s="6" t="s">
        <v>536</v>
      </c>
      <c r="AA94" s="5">
        <f>IF(OR(D94="Monster", E94="Basic"), 0, ROUND((MIN(IFERROR(VLOOKUP(G94, Relic_Price_Config!$A$5:$E$9, 4, FALSE), 350), MAX(IFERROR(VLOOKUP(G94, Relic_Price_Config!$A$5:$E$9, 3, FALSE), 210), ROUND((IFERROR(VLOOKUP(H94, Relic_Price_Config!$G$5:$N$100, 4, FALSE), 280) + N(L94) * IF(N(O94)&gt;1, N(O94), 1) * IFERROR(VLOOKUP(H94, Relic_Price_Config!$G$5:$N$100, 5, FALSE), 10) + ABS(N(R94)) * IFERROR(VLOOKUP(H94, Relic_Price_Config!$G$5:$N$100, 6, FALSE), 15) + IF(N(S94)&gt;1, (N(S94)-1)*10, 0)) * IFERROR(VLOOKUP(G94, Relic_Price_Config!$A$5:$E$9, 2, FALSE), 1), 0))) * 0.1) / 5, 0) * 5)</f>
        <v>55</v>
      </c>
      <c r="AB94" s="5">
        <f t="shared" si="1"/>
        <v>40</v>
      </c>
    </row>
    <row r="95" spans="1:28" ht="17.25" customHeight="1">
      <c r="A95" s="2" t="s">
        <v>537</v>
      </c>
      <c r="B95" s="2" t="s">
        <v>538</v>
      </c>
      <c r="C95" s="3" t="s">
        <v>539</v>
      </c>
      <c r="D95" s="2" t="s">
        <v>59</v>
      </c>
      <c r="E95" s="2" t="s">
        <v>115</v>
      </c>
      <c r="F95" s="2" t="s">
        <v>33</v>
      </c>
      <c r="G95" s="2" t="s">
        <v>295</v>
      </c>
      <c r="H95" s="2" t="s">
        <v>60</v>
      </c>
      <c r="I95" s="2" t="s">
        <v>36</v>
      </c>
      <c r="J95" s="2">
        <v>0</v>
      </c>
      <c r="K95" s="2">
        <v>1</v>
      </c>
      <c r="L95" s="2">
        <v>16</v>
      </c>
      <c r="M95" s="2" t="s">
        <v>37</v>
      </c>
      <c r="N95" s="2">
        <v>1</v>
      </c>
      <c r="O95" s="2">
        <v>1</v>
      </c>
      <c r="P95" s="2">
        <v>9</v>
      </c>
      <c r="Q95" s="2"/>
      <c r="R95" s="2">
        <v>0</v>
      </c>
      <c r="S95" s="2">
        <v>0</v>
      </c>
      <c r="T95" s="2">
        <v>0</v>
      </c>
      <c r="U95" s="2"/>
      <c r="V95" s="2"/>
      <c r="W95" s="2"/>
      <c r="X95" s="2"/>
      <c r="Y95" s="3" t="s">
        <v>540</v>
      </c>
      <c r="Z95" s="3" t="s">
        <v>541</v>
      </c>
      <c r="AA95" s="2">
        <f>IF(OR(D95="Monster", E95="Basic"), 0, ROUND((MIN(IFERROR(VLOOKUP(G95, Relic_Price_Config!$A$5:$E$9, 4, FALSE), 350), MAX(IFERROR(VLOOKUP(G95, Relic_Price_Config!$A$5:$E$9, 3, FALSE), 210), ROUND((IFERROR(VLOOKUP(H95, Relic_Price_Config!$G$5:$N$100, 4, FALSE), 280) + N(L95) * IF(N(O95)&gt;1, N(O95), 1) * IFERROR(VLOOKUP(H95, Relic_Price_Config!$G$5:$N$100, 5, FALSE), 10) + ABS(N(R95)) * IFERROR(VLOOKUP(H95, Relic_Price_Config!$G$5:$N$100, 6, FALSE), 15) + IF(N(S95)&gt;1, (N(S95)-1)*10, 0)) * IFERROR(VLOOKUP(G95, Relic_Price_Config!$A$5:$E$9, 2, FALSE), 1), 0))) * 0.1) / 5, 0) * 5)</f>
        <v>70</v>
      </c>
      <c r="AB95" s="2">
        <f t="shared" si="1"/>
        <v>50</v>
      </c>
    </row>
    <row r="96" spans="1:28" ht="17.25" customHeight="1">
      <c r="A96" s="5" t="s">
        <v>542</v>
      </c>
      <c r="B96" s="5" t="s">
        <v>543</v>
      </c>
      <c r="C96" s="9" t="s">
        <v>544</v>
      </c>
      <c r="D96" s="5" t="s">
        <v>59</v>
      </c>
      <c r="E96" s="2" t="s">
        <v>115</v>
      </c>
      <c r="F96" s="5" t="s">
        <v>33</v>
      </c>
      <c r="G96" s="5" t="s">
        <v>295</v>
      </c>
      <c r="H96" s="5" t="s">
        <v>392</v>
      </c>
      <c r="I96" s="5" t="s">
        <v>36</v>
      </c>
      <c r="J96" s="5">
        <v>0</v>
      </c>
      <c r="K96" s="5">
        <v>1</v>
      </c>
      <c r="L96" s="5">
        <v>14</v>
      </c>
      <c r="M96" s="5" t="s">
        <v>37</v>
      </c>
      <c r="N96" s="5">
        <v>1</v>
      </c>
      <c r="O96" s="5">
        <v>1</v>
      </c>
      <c r="P96" s="5">
        <v>8</v>
      </c>
      <c r="Q96" s="5" t="s">
        <v>130</v>
      </c>
      <c r="R96" s="5">
        <v>2</v>
      </c>
      <c r="S96" s="5">
        <v>2</v>
      </c>
      <c r="T96" s="5">
        <v>0</v>
      </c>
      <c r="U96" s="5"/>
      <c r="V96" s="5"/>
      <c r="W96" s="5"/>
      <c r="X96" s="5"/>
      <c r="Y96" s="6" t="s">
        <v>545</v>
      </c>
      <c r="Z96" s="6" t="s">
        <v>546</v>
      </c>
      <c r="AA96" s="5">
        <f>IF(OR(D96="Monster", E96="Basic"), 0, ROUND((MIN(IFERROR(VLOOKUP(G96, Relic_Price_Config!$A$5:$E$9, 4, FALSE), 350), MAX(IFERROR(VLOOKUP(G96, Relic_Price_Config!$A$5:$E$9, 3, FALSE), 210), ROUND((IFERROR(VLOOKUP(H96, Relic_Price_Config!$G$5:$N$100, 4, FALSE), 280) + N(L96) * IF(N(O96)&gt;1, N(O96), 1) * IFERROR(VLOOKUP(H96, Relic_Price_Config!$G$5:$N$100, 5, FALSE), 10) + ABS(N(R96)) * IFERROR(VLOOKUP(H96, Relic_Price_Config!$G$5:$N$100, 6, FALSE), 15) + IF(N(S96)&gt;1, (N(S96)-1)*10, 0)) * IFERROR(VLOOKUP(G96, Relic_Price_Config!$A$5:$E$9, 2, FALSE), 1), 0))) * 0.1) / 5, 0) * 5)</f>
        <v>70</v>
      </c>
      <c r="AB96" s="5">
        <f t="shared" si="1"/>
        <v>50</v>
      </c>
    </row>
    <row r="97" spans="1:28" ht="17.25" customHeight="1">
      <c r="A97" s="2" t="s">
        <v>547</v>
      </c>
      <c r="B97" s="2" t="s">
        <v>548</v>
      </c>
      <c r="C97" s="3" t="s">
        <v>549</v>
      </c>
      <c r="D97" s="2" t="s">
        <v>59</v>
      </c>
      <c r="E97" s="2" t="s">
        <v>115</v>
      </c>
      <c r="F97" s="2" t="s">
        <v>33</v>
      </c>
      <c r="G97" s="2" t="s">
        <v>295</v>
      </c>
      <c r="H97" s="2" t="s">
        <v>550</v>
      </c>
      <c r="I97" s="2" t="s">
        <v>108</v>
      </c>
      <c r="J97" s="2">
        <v>0</v>
      </c>
      <c r="K97" s="2">
        <v>1</v>
      </c>
      <c r="L97" s="2">
        <v>15</v>
      </c>
      <c r="M97" s="2" t="s">
        <v>37</v>
      </c>
      <c r="N97" s="2">
        <v>1</v>
      </c>
      <c r="O97" s="2">
        <v>1</v>
      </c>
      <c r="P97" s="2">
        <v>12</v>
      </c>
      <c r="Q97" s="2" t="s">
        <v>322</v>
      </c>
      <c r="R97" s="2">
        <v>1</v>
      </c>
      <c r="S97" s="2">
        <v>1</v>
      </c>
      <c r="T97" s="2">
        <v>0</v>
      </c>
      <c r="U97" s="2"/>
      <c r="V97" s="2"/>
      <c r="W97" s="2"/>
      <c r="X97" s="2"/>
      <c r="Y97" s="3" t="s">
        <v>551</v>
      </c>
      <c r="Z97" s="3" t="s">
        <v>552</v>
      </c>
      <c r="AA97" s="2">
        <f>IF(OR(D97="Monster", E97="Basic"), 0, ROUND((MIN(IFERROR(VLOOKUP(G97, Relic_Price_Config!$A$5:$E$9, 4, FALSE), 350), MAX(IFERROR(VLOOKUP(G97, Relic_Price_Config!$A$5:$E$9, 3, FALSE), 210), ROUND((IFERROR(VLOOKUP(H97, Relic_Price_Config!$G$5:$N$100, 4, FALSE), 280) + N(L97) * IF(N(O97)&gt;1, N(O97), 1) * IFERROR(VLOOKUP(H97, Relic_Price_Config!$G$5:$N$100, 5, FALSE), 10) + ABS(N(R97)) * IFERROR(VLOOKUP(H97, Relic_Price_Config!$G$5:$N$100, 6, FALSE), 15) + IF(N(S97)&gt;1, (N(S97)-1)*10, 0)) * IFERROR(VLOOKUP(G97, Relic_Price_Config!$A$5:$E$9, 2, FALSE), 1), 0))) * 0.1) / 5, 0) * 5)</f>
        <v>70</v>
      </c>
      <c r="AB97" s="2">
        <f t="shared" si="1"/>
        <v>50</v>
      </c>
    </row>
    <row r="98" spans="1:28" ht="17.25" customHeight="1">
      <c r="A98" s="5" t="s">
        <v>553</v>
      </c>
      <c r="B98" s="5" t="s">
        <v>554</v>
      </c>
      <c r="C98" s="9" t="s">
        <v>555</v>
      </c>
      <c r="D98" s="5" t="s">
        <v>59</v>
      </c>
      <c r="E98" s="2" t="s">
        <v>115</v>
      </c>
      <c r="F98" s="5" t="s">
        <v>33</v>
      </c>
      <c r="G98" s="5" t="s">
        <v>295</v>
      </c>
      <c r="H98" s="5" t="s">
        <v>174</v>
      </c>
      <c r="I98" s="5" t="s">
        <v>108</v>
      </c>
      <c r="J98" s="5">
        <v>0</v>
      </c>
      <c r="K98" s="5">
        <v>1</v>
      </c>
      <c r="L98" s="5">
        <v>5</v>
      </c>
      <c r="M98" s="5" t="s">
        <v>37</v>
      </c>
      <c r="N98" s="5">
        <v>1</v>
      </c>
      <c r="O98" s="5">
        <v>4</v>
      </c>
      <c r="P98" s="5">
        <v>0</v>
      </c>
      <c r="Q98" s="5"/>
      <c r="R98" s="5">
        <v>0</v>
      </c>
      <c r="S98" s="5">
        <v>0</v>
      </c>
      <c r="T98" s="5">
        <v>0</v>
      </c>
      <c r="U98" s="5"/>
      <c r="V98" s="5"/>
      <c r="W98" s="5"/>
      <c r="X98" s="5"/>
      <c r="Y98" s="6" t="s">
        <v>556</v>
      </c>
      <c r="Z98" s="6" t="s">
        <v>557</v>
      </c>
      <c r="AA98" s="5">
        <f>IF(OR(D98="Monster", E98="Basic"), 0, ROUND((MIN(IFERROR(VLOOKUP(G98, Relic_Price_Config!$A$5:$E$9, 4, FALSE), 350), MAX(IFERROR(VLOOKUP(G98, Relic_Price_Config!$A$5:$E$9, 3, FALSE), 210), ROUND((IFERROR(VLOOKUP(H98, Relic_Price_Config!$G$5:$N$100, 4, FALSE), 280) + N(L98) * IF(N(O98)&gt;1, N(O98), 1) * IFERROR(VLOOKUP(H98, Relic_Price_Config!$G$5:$N$100, 5, FALSE), 10) + ABS(N(R98)) * IFERROR(VLOOKUP(H98, Relic_Price_Config!$G$5:$N$100, 6, FALSE), 15) + IF(N(S98)&gt;1, (N(S98)-1)*10, 0)) * IFERROR(VLOOKUP(G98, Relic_Price_Config!$A$5:$E$9, 2, FALSE), 1), 0))) * 0.1) / 5, 0) * 5)</f>
        <v>70</v>
      </c>
      <c r="AB98" s="5">
        <f t="shared" si="1"/>
        <v>50</v>
      </c>
    </row>
    <row r="99" spans="1:28" ht="17.25" customHeight="1">
      <c r="A99" s="2" t="s">
        <v>558</v>
      </c>
      <c r="B99" s="2" t="s">
        <v>559</v>
      </c>
      <c r="C99" s="3" t="s">
        <v>560</v>
      </c>
      <c r="D99" s="2" t="s">
        <v>59</v>
      </c>
      <c r="E99" s="2" t="s">
        <v>115</v>
      </c>
      <c r="F99" s="2" t="s">
        <v>33</v>
      </c>
      <c r="G99" s="2" t="s">
        <v>295</v>
      </c>
      <c r="H99" s="2" t="s">
        <v>561</v>
      </c>
      <c r="I99" s="2" t="s">
        <v>108</v>
      </c>
      <c r="J99" s="2">
        <v>0</v>
      </c>
      <c r="K99" s="2">
        <v>1</v>
      </c>
      <c r="L99" s="2">
        <v>16</v>
      </c>
      <c r="M99" s="2" t="s">
        <v>37</v>
      </c>
      <c r="N99" s="2">
        <v>1</v>
      </c>
      <c r="O99" s="2">
        <v>1</v>
      </c>
      <c r="P99" s="2">
        <v>0</v>
      </c>
      <c r="Q99" s="2" t="s">
        <v>562</v>
      </c>
      <c r="R99" s="2">
        <v>3</v>
      </c>
      <c r="S99" s="2">
        <v>2</v>
      </c>
      <c r="T99" s="2">
        <v>0</v>
      </c>
      <c r="U99" s="2"/>
      <c r="V99" s="2"/>
      <c r="W99" s="2"/>
      <c r="X99" s="2"/>
      <c r="Y99" s="3" t="s">
        <v>563</v>
      </c>
      <c r="Z99" s="3" t="s">
        <v>557</v>
      </c>
      <c r="AA99" s="2">
        <f>IF(OR(D99="Monster", E99="Basic"), 0, ROUND((MIN(IFERROR(VLOOKUP(G99, Relic_Price_Config!$A$5:$E$9, 4, FALSE), 350), MAX(IFERROR(VLOOKUP(G99, Relic_Price_Config!$A$5:$E$9, 3, FALSE), 210), ROUND((IFERROR(VLOOKUP(H99, Relic_Price_Config!$G$5:$N$100, 4, FALSE), 280) + N(L99) * IF(N(O99)&gt;1, N(O99), 1) * IFERROR(VLOOKUP(H99, Relic_Price_Config!$G$5:$N$100, 5, FALSE), 10) + ABS(N(R99)) * IFERROR(VLOOKUP(H99, Relic_Price_Config!$G$5:$N$100, 6, FALSE), 15) + IF(N(S99)&gt;1, (N(S99)-1)*10, 0)) * IFERROR(VLOOKUP(G99, Relic_Price_Config!$A$5:$E$9, 2, FALSE), 1), 0))) * 0.1) / 5, 0) * 5)</f>
        <v>70</v>
      </c>
      <c r="AB99" s="2">
        <f t="shared" si="1"/>
        <v>50</v>
      </c>
    </row>
    <row r="100" spans="1:28" ht="17.25" customHeight="1">
      <c r="A100" s="5" t="s">
        <v>564</v>
      </c>
      <c r="B100" s="5" t="s">
        <v>565</v>
      </c>
      <c r="C100" s="9" t="s">
        <v>566</v>
      </c>
      <c r="D100" s="5" t="s">
        <v>59</v>
      </c>
      <c r="E100" s="2" t="s">
        <v>115</v>
      </c>
      <c r="F100" s="5" t="s">
        <v>33</v>
      </c>
      <c r="G100" s="5" t="s">
        <v>295</v>
      </c>
      <c r="H100" s="5" t="s">
        <v>350</v>
      </c>
      <c r="I100" s="5" t="s">
        <v>108</v>
      </c>
      <c r="J100" s="5">
        <v>0</v>
      </c>
      <c r="K100" s="5">
        <v>1</v>
      </c>
      <c r="L100" s="5">
        <v>16</v>
      </c>
      <c r="M100" s="5" t="s">
        <v>37</v>
      </c>
      <c r="N100" s="5">
        <v>1</v>
      </c>
      <c r="O100" s="5">
        <v>1</v>
      </c>
      <c r="P100" s="5">
        <v>0</v>
      </c>
      <c r="Q100" s="5" t="s">
        <v>94</v>
      </c>
      <c r="R100" s="5">
        <v>1</v>
      </c>
      <c r="S100" s="5">
        <v>2</v>
      </c>
      <c r="T100" s="5">
        <v>0</v>
      </c>
      <c r="U100" s="5"/>
      <c r="V100" s="5"/>
      <c r="W100" s="5"/>
      <c r="X100" s="5"/>
      <c r="Y100" s="6" t="s">
        <v>567</v>
      </c>
      <c r="Z100" s="6" t="s">
        <v>557</v>
      </c>
      <c r="AA100" s="5">
        <f>IF(OR(D100="Monster", E100="Basic"), 0, ROUND((MIN(IFERROR(VLOOKUP(G100, Relic_Price_Config!$A$5:$E$9, 4, FALSE), 350), MAX(IFERROR(VLOOKUP(G100, Relic_Price_Config!$A$5:$E$9, 3, FALSE), 210), ROUND((IFERROR(VLOOKUP(H100, Relic_Price_Config!$G$5:$N$100, 4, FALSE), 280) + N(L100) * IF(N(O100)&gt;1, N(O100), 1) * IFERROR(VLOOKUP(H100, Relic_Price_Config!$G$5:$N$100, 5, FALSE), 10) + ABS(N(R100)) * IFERROR(VLOOKUP(H100, Relic_Price_Config!$G$5:$N$100, 6, FALSE), 15) + IF(N(S100)&gt;1, (N(S100)-1)*10, 0)) * IFERROR(VLOOKUP(G100, Relic_Price_Config!$A$5:$E$9, 2, FALSE), 1), 0))) * 0.1) / 5, 0) * 5)</f>
        <v>70</v>
      </c>
      <c r="AB100" s="5">
        <f t="shared" si="1"/>
        <v>50</v>
      </c>
    </row>
    <row r="101" spans="1:28" ht="17.25" customHeight="1">
      <c r="A101" s="2" t="s">
        <v>568</v>
      </c>
      <c r="B101" s="2" t="s">
        <v>569</v>
      </c>
      <c r="C101" s="3" t="s">
        <v>570</v>
      </c>
      <c r="D101" s="2" t="s">
        <v>59</v>
      </c>
      <c r="E101" s="2" t="s">
        <v>115</v>
      </c>
      <c r="F101" s="2" t="s">
        <v>33</v>
      </c>
      <c r="G101" s="2" t="s">
        <v>295</v>
      </c>
      <c r="H101" s="2" t="s">
        <v>356</v>
      </c>
      <c r="I101" s="2" t="s">
        <v>108</v>
      </c>
      <c r="J101" s="2">
        <v>0</v>
      </c>
      <c r="K101" s="2">
        <v>1</v>
      </c>
      <c r="L101" s="2">
        <v>16</v>
      </c>
      <c r="M101" s="2" t="s">
        <v>37</v>
      </c>
      <c r="N101" s="2">
        <v>1</v>
      </c>
      <c r="O101" s="2">
        <v>1</v>
      </c>
      <c r="P101" s="2">
        <v>0</v>
      </c>
      <c r="Q101" s="2" t="s">
        <v>357</v>
      </c>
      <c r="R101" s="2">
        <v>1</v>
      </c>
      <c r="S101" s="2">
        <v>2</v>
      </c>
      <c r="T101" s="2">
        <v>0</v>
      </c>
      <c r="U101" s="2"/>
      <c r="V101" s="2"/>
      <c r="W101" s="2"/>
      <c r="X101" s="2"/>
      <c r="Y101" s="3" t="s">
        <v>571</v>
      </c>
      <c r="Z101" s="3" t="s">
        <v>572</v>
      </c>
      <c r="AA101" s="2">
        <f>IF(OR(D101="Monster", E101="Basic"), 0, ROUND((MIN(IFERROR(VLOOKUP(G101, Relic_Price_Config!$A$5:$E$9, 4, FALSE), 350), MAX(IFERROR(VLOOKUP(G101, Relic_Price_Config!$A$5:$E$9, 3, FALSE), 210), ROUND((IFERROR(VLOOKUP(H101, Relic_Price_Config!$G$5:$N$100, 4, FALSE), 280) + N(L101) * IF(N(O101)&gt;1, N(O101), 1) * IFERROR(VLOOKUP(H101, Relic_Price_Config!$G$5:$N$100, 5, FALSE), 10) + ABS(N(R101)) * IFERROR(VLOOKUP(H101, Relic_Price_Config!$G$5:$N$100, 6, FALSE), 15) + IF(N(S101)&gt;1, (N(S101)-1)*10, 0)) * IFERROR(VLOOKUP(G101, Relic_Price_Config!$A$5:$E$9, 2, FALSE), 1), 0))) * 0.1) / 5, 0) * 5)</f>
        <v>70</v>
      </c>
      <c r="AB101" s="2">
        <f t="shared" si="1"/>
        <v>50</v>
      </c>
    </row>
    <row r="102" spans="1:28" ht="17.25" customHeight="1">
      <c r="A102" s="5" t="s">
        <v>573</v>
      </c>
      <c r="B102" s="5" t="s">
        <v>574</v>
      </c>
      <c r="C102" s="9" t="s">
        <v>575</v>
      </c>
      <c r="D102" s="5" t="s">
        <v>59</v>
      </c>
      <c r="E102" s="2" t="s">
        <v>115</v>
      </c>
      <c r="F102" s="5" t="s">
        <v>33</v>
      </c>
      <c r="G102" s="5" t="s">
        <v>295</v>
      </c>
      <c r="H102" s="5" t="s">
        <v>412</v>
      </c>
      <c r="I102" s="5" t="s">
        <v>108</v>
      </c>
      <c r="J102" s="5">
        <v>0</v>
      </c>
      <c r="K102" s="5">
        <v>1</v>
      </c>
      <c r="L102" s="5">
        <v>15</v>
      </c>
      <c r="M102" s="5" t="s">
        <v>37</v>
      </c>
      <c r="N102" s="5">
        <v>1</v>
      </c>
      <c r="O102" s="5">
        <v>1</v>
      </c>
      <c r="P102" s="5">
        <v>0</v>
      </c>
      <c r="Q102" s="5" t="s">
        <v>413</v>
      </c>
      <c r="R102" s="5">
        <v>3</v>
      </c>
      <c r="S102" s="5">
        <v>2</v>
      </c>
      <c r="T102" s="5">
        <v>0</v>
      </c>
      <c r="U102" s="5"/>
      <c r="V102" s="5"/>
      <c r="W102" s="5"/>
      <c r="X102" s="5"/>
      <c r="Y102" s="6" t="s">
        <v>576</v>
      </c>
      <c r="Z102" s="6" t="s">
        <v>572</v>
      </c>
      <c r="AA102" s="5">
        <f>IF(OR(D102="Monster", E102="Basic"), 0, ROUND((MIN(IFERROR(VLOOKUP(G102, Relic_Price_Config!$A$5:$E$9, 4, FALSE), 350), MAX(IFERROR(VLOOKUP(G102, Relic_Price_Config!$A$5:$E$9, 3, FALSE), 210), ROUND((IFERROR(VLOOKUP(H102, Relic_Price_Config!$G$5:$N$100, 4, FALSE), 280) + N(L102) * IF(N(O102)&gt;1, N(O102), 1) * IFERROR(VLOOKUP(H102, Relic_Price_Config!$G$5:$N$100, 5, FALSE), 10) + ABS(N(R102)) * IFERROR(VLOOKUP(H102, Relic_Price_Config!$G$5:$N$100, 6, FALSE), 15) + IF(N(S102)&gt;1, (N(S102)-1)*10, 0)) * IFERROR(VLOOKUP(G102, Relic_Price_Config!$A$5:$E$9, 2, FALSE), 1), 0))) * 0.1) / 5, 0) * 5)</f>
        <v>70</v>
      </c>
      <c r="AB102" s="5">
        <f t="shared" si="1"/>
        <v>50</v>
      </c>
    </row>
    <row r="103" spans="1:28" ht="17.25" customHeight="1">
      <c r="A103" s="2" t="s">
        <v>577</v>
      </c>
      <c r="B103" s="2" t="s">
        <v>578</v>
      </c>
      <c r="C103" s="3" t="s">
        <v>579</v>
      </c>
      <c r="D103" s="2" t="s">
        <v>59</v>
      </c>
      <c r="E103" s="2" t="s">
        <v>115</v>
      </c>
      <c r="F103" s="2" t="s">
        <v>43</v>
      </c>
      <c r="G103" s="2" t="s">
        <v>295</v>
      </c>
      <c r="H103" s="2" t="s">
        <v>315</v>
      </c>
      <c r="I103" s="2" t="s">
        <v>45</v>
      </c>
      <c r="J103" s="2">
        <v>0</v>
      </c>
      <c r="K103" s="2">
        <v>1</v>
      </c>
      <c r="L103" s="2">
        <v>20</v>
      </c>
      <c r="M103" s="2" t="s">
        <v>46</v>
      </c>
      <c r="N103" s="2">
        <v>1</v>
      </c>
      <c r="O103" s="2">
        <v>1</v>
      </c>
      <c r="P103" s="2">
        <v>0</v>
      </c>
      <c r="Q103" s="2" t="s">
        <v>316</v>
      </c>
      <c r="R103" s="2">
        <v>3</v>
      </c>
      <c r="S103" s="2">
        <v>2</v>
      </c>
      <c r="T103" s="2">
        <v>0</v>
      </c>
      <c r="U103" s="2"/>
      <c r="V103" s="2"/>
      <c r="W103" s="2"/>
      <c r="X103" s="2"/>
      <c r="Y103" s="3" t="s">
        <v>580</v>
      </c>
      <c r="Z103" s="3" t="s">
        <v>572</v>
      </c>
      <c r="AA103" s="2">
        <f>IF(OR(D103="Monster", E103="Basic"), 0, ROUND((MIN(IFERROR(VLOOKUP(G103, Relic_Price_Config!$A$5:$E$9, 4, FALSE), 350), MAX(IFERROR(VLOOKUP(G103, Relic_Price_Config!$A$5:$E$9, 3, FALSE), 210), ROUND((IFERROR(VLOOKUP(H103, Relic_Price_Config!$G$5:$N$100, 4, FALSE), 280) + N(L103) * IF(N(O103)&gt;1, N(O103), 1) * IFERROR(VLOOKUP(H103, Relic_Price_Config!$G$5:$N$100, 5, FALSE), 10) + ABS(N(R103)) * IFERROR(VLOOKUP(H103, Relic_Price_Config!$G$5:$N$100, 6, FALSE), 15) + IF(N(S103)&gt;1, (N(S103)-1)*10, 0)) * IFERROR(VLOOKUP(G103, Relic_Price_Config!$A$5:$E$9, 2, FALSE), 1), 0))) * 0.1) / 5, 0) * 5)</f>
        <v>70</v>
      </c>
      <c r="AB103" s="2">
        <f t="shared" si="1"/>
        <v>50</v>
      </c>
    </row>
    <row r="104" spans="1:28" ht="17.25" customHeight="1">
      <c r="A104" s="5" t="s">
        <v>581</v>
      </c>
      <c r="B104" s="5" t="s">
        <v>582</v>
      </c>
      <c r="C104" s="9" t="s">
        <v>583</v>
      </c>
      <c r="D104" s="5" t="s">
        <v>59</v>
      </c>
      <c r="E104" s="2" t="s">
        <v>115</v>
      </c>
      <c r="F104" s="5" t="s">
        <v>51</v>
      </c>
      <c r="G104" s="5" t="s">
        <v>295</v>
      </c>
      <c r="H104" s="5" t="s">
        <v>520</v>
      </c>
      <c r="I104" s="5" t="s">
        <v>504</v>
      </c>
      <c r="J104" s="5">
        <v>0</v>
      </c>
      <c r="K104" s="5">
        <v>1</v>
      </c>
      <c r="L104" s="5">
        <v>0</v>
      </c>
      <c r="M104" s="5"/>
      <c r="N104" s="5">
        <v>0</v>
      </c>
      <c r="O104" s="5">
        <v>1</v>
      </c>
      <c r="P104" s="5">
        <v>0</v>
      </c>
      <c r="Q104" s="5" t="s">
        <v>71</v>
      </c>
      <c r="R104" s="5">
        <v>3</v>
      </c>
      <c r="S104" s="5">
        <v>-1</v>
      </c>
      <c r="T104" s="5">
        <v>0</v>
      </c>
      <c r="U104" s="5"/>
      <c r="V104" s="5"/>
      <c r="W104" s="5"/>
      <c r="X104" s="5"/>
      <c r="Y104" s="6" t="s">
        <v>584</v>
      </c>
      <c r="Z104" s="6" t="s">
        <v>585</v>
      </c>
      <c r="AA104" s="5">
        <f>IF(OR(D104="Monster", E104="Basic"), 0, ROUND((MIN(IFERROR(VLOOKUP(G104, Relic_Price_Config!$A$5:$E$9, 4, FALSE), 350), MAX(IFERROR(VLOOKUP(G104, Relic_Price_Config!$A$5:$E$9, 3, FALSE), 210), ROUND((IFERROR(VLOOKUP(H104, Relic_Price_Config!$G$5:$N$100, 4, FALSE), 280) + N(L104) * IF(N(O104)&gt;1, N(O104), 1) * IFERROR(VLOOKUP(H104, Relic_Price_Config!$G$5:$N$100, 5, FALSE), 10) + ABS(N(R104)) * IFERROR(VLOOKUP(H104, Relic_Price_Config!$G$5:$N$100, 6, FALSE), 15) + IF(N(S104)&gt;1, (N(S104)-1)*10, 0)) * IFERROR(VLOOKUP(G104, Relic_Price_Config!$A$5:$E$9, 2, FALSE), 1), 0))) * 0.1) / 5, 0) * 5)</f>
        <v>70</v>
      </c>
      <c r="AB104" s="5">
        <f t="shared" si="1"/>
        <v>50</v>
      </c>
    </row>
    <row r="105" spans="1:28" ht="17.25" customHeight="1">
      <c r="A105" s="2" t="s">
        <v>586</v>
      </c>
      <c r="B105" s="2" t="s">
        <v>587</v>
      </c>
      <c r="C105" s="3" t="s">
        <v>588</v>
      </c>
      <c r="D105" s="2" t="s">
        <v>59</v>
      </c>
      <c r="E105" s="2" t="s">
        <v>115</v>
      </c>
      <c r="F105" s="2" t="s">
        <v>51</v>
      </c>
      <c r="G105" s="2" t="s">
        <v>295</v>
      </c>
      <c r="H105" s="2" t="s">
        <v>328</v>
      </c>
      <c r="I105" s="2" t="s">
        <v>45</v>
      </c>
      <c r="J105" s="2">
        <v>0</v>
      </c>
      <c r="K105" s="2">
        <v>1</v>
      </c>
      <c r="L105" s="2">
        <v>1</v>
      </c>
      <c r="M105" s="2"/>
      <c r="N105" s="2">
        <v>0</v>
      </c>
      <c r="O105" s="2">
        <v>1</v>
      </c>
      <c r="P105" s="2">
        <v>0</v>
      </c>
      <c r="Q105" s="2" t="s">
        <v>329</v>
      </c>
      <c r="R105" s="2">
        <v>1</v>
      </c>
      <c r="S105" s="2">
        <v>2</v>
      </c>
      <c r="T105" s="2">
        <v>0</v>
      </c>
      <c r="U105" s="2"/>
      <c r="V105" s="2"/>
      <c r="W105" s="2"/>
      <c r="X105" s="2"/>
      <c r="Y105" s="3" t="s">
        <v>589</v>
      </c>
      <c r="Z105" s="3" t="s">
        <v>585</v>
      </c>
      <c r="AA105" s="2">
        <f>IF(OR(D105="Monster", E105="Basic"), 0, ROUND((MIN(IFERROR(VLOOKUP(G105, Relic_Price_Config!$A$5:$E$9, 4, FALSE), 350), MAX(IFERROR(VLOOKUP(G105, Relic_Price_Config!$A$5:$E$9, 3, FALSE), 210), ROUND((IFERROR(VLOOKUP(H105, Relic_Price_Config!$G$5:$N$100, 4, FALSE), 280) + N(L105) * IF(N(O105)&gt;1, N(O105), 1) * IFERROR(VLOOKUP(H105, Relic_Price_Config!$G$5:$N$100, 5, FALSE), 10) + ABS(N(R105)) * IFERROR(VLOOKUP(H105, Relic_Price_Config!$G$5:$N$100, 6, FALSE), 15) + IF(N(S105)&gt;1, (N(S105)-1)*10, 0)) * IFERROR(VLOOKUP(G105, Relic_Price_Config!$A$5:$E$9, 2, FALSE), 1), 0))) * 0.1) / 5, 0) * 5)</f>
        <v>70</v>
      </c>
      <c r="AB105" s="2">
        <f t="shared" si="1"/>
        <v>50</v>
      </c>
    </row>
    <row r="106" spans="1:28" ht="17.25" customHeight="1">
      <c r="A106" s="5" t="s">
        <v>590</v>
      </c>
      <c r="B106" s="5" t="s">
        <v>591</v>
      </c>
      <c r="C106" s="9" t="s">
        <v>592</v>
      </c>
      <c r="D106" s="5" t="s">
        <v>59</v>
      </c>
      <c r="E106" s="2" t="s">
        <v>115</v>
      </c>
      <c r="F106" s="5" t="s">
        <v>43</v>
      </c>
      <c r="G106" s="5" t="s">
        <v>295</v>
      </c>
      <c r="H106" s="5" t="s">
        <v>593</v>
      </c>
      <c r="I106" s="5" t="s">
        <v>504</v>
      </c>
      <c r="J106" s="5">
        <v>0</v>
      </c>
      <c r="K106" s="5">
        <v>1</v>
      </c>
      <c r="L106" s="5">
        <v>10</v>
      </c>
      <c r="M106" s="5" t="s">
        <v>46</v>
      </c>
      <c r="N106" s="5">
        <v>1</v>
      </c>
      <c r="O106" s="5">
        <v>1</v>
      </c>
      <c r="P106" s="5">
        <v>0</v>
      </c>
      <c r="Q106" s="5" t="s">
        <v>71</v>
      </c>
      <c r="R106" s="5">
        <v>2</v>
      </c>
      <c r="S106" s="5">
        <v>2</v>
      </c>
      <c r="T106" s="5">
        <v>0</v>
      </c>
      <c r="U106" s="5"/>
      <c r="V106" s="5"/>
      <c r="W106" s="5"/>
      <c r="X106" s="5"/>
      <c r="Y106" s="6" t="s">
        <v>594</v>
      </c>
      <c r="Z106" s="6" t="s">
        <v>585</v>
      </c>
      <c r="AA106" s="5">
        <f>IF(OR(D106="Monster", E106="Basic"), 0, ROUND((MIN(IFERROR(VLOOKUP(G106, Relic_Price_Config!$A$5:$E$9, 4, FALSE), 350), MAX(IFERROR(VLOOKUP(G106, Relic_Price_Config!$A$5:$E$9, 3, FALSE), 210), ROUND((IFERROR(VLOOKUP(H106, Relic_Price_Config!$G$5:$N$100, 4, FALSE), 280) + N(L106) * IF(N(O106)&gt;1, N(O106), 1) * IFERROR(VLOOKUP(H106, Relic_Price_Config!$G$5:$N$100, 5, FALSE), 10) + ABS(N(R106)) * IFERROR(VLOOKUP(H106, Relic_Price_Config!$G$5:$N$100, 6, FALSE), 15) + IF(N(S106)&gt;1, (N(S106)-1)*10, 0)) * IFERROR(VLOOKUP(G106, Relic_Price_Config!$A$5:$E$9, 2, FALSE), 1), 0))) * 0.1) / 5, 0) * 5)</f>
        <v>70</v>
      </c>
      <c r="AB106" s="5">
        <f t="shared" si="1"/>
        <v>50</v>
      </c>
    </row>
    <row r="107" spans="1:28" ht="17.25" customHeight="1">
      <c r="A107" s="2" t="s">
        <v>595</v>
      </c>
      <c r="B107" s="2" t="s">
        <v>596</v>
      </c>
      <c r="C107" s="3" t="s">
        <v>597</v>
      </c>
      <c r="D107" s="2" t="s">
        <v>59</v>
      </c>
      <c r="E107" s="2" t="s">
        <v>115</v>
      </c>
      <c r="F107" s="2" t="s">
        <v>33</v>
      </c>
      <c r="G107" s="2" t="s">
        <v>295</v>
      </c>
      <c r="H107" s="2" t="s">
        <v>35</v>
      </c>
      <c r="I107" s="2" t="s">
        <v>36</v>
      </c>
      <c r="J107" s="2">
        <v>0</v>
      </c>
      <c r="K107" s="2">
        <v>1</v>
      </c>
      <c r="L107" s="2">
        <v>6</v>
      </c>
      <c r="M107" s="2" t="s">
        <v>37</v>
      </c>
      <c r="N107" s="2">
        <v>1</v>
      </c>
      <c r="O107" s="2">
        <v>4</v>
      </c>
      <c r="P107" s="2">
        <v>0</v>
      </c>
      <c r="Q107" s="2"/>
      <c r="R107" s="2">
        <v>0</v>
      </c>
      <c r="S107" s="2">
        <v>0</v>
      </c>
      <c r="T107" s="2">
        <v>0</v>
      </c>
      <c r="U107" s="2"/>
      <c r="V107" s="2"/>
      <c r="W107" s="2"/>
      <c r="X107" s="2"/>
      <c r="Y107" s="3" t="s">
        <v>598</v>
      </c>
      <c r="Z107" s="3" t="s">
        <v>599</v>
      </c>
      <c r="AA107" s="2">
        <f>IF(OR(D107="Monster", E107="Basic"), 0, ROUND((MIN(IFERROR(VLOOKUP(G107, Relic_Price_Config!$A$5:$E$9, 4, FALSE), 350), MAX(IFERROR(VLOOKUP(G107, Relic_Price_Config!$A$5:$E$9, 3, FALSE), 210), ROUND((IFERROR(VLOOKUP(H107, Relic_Price_Config!$G$5:$N$100, 4, FALSE), 280) + N(L107) * IF(N(O107)&gt;1, N(O107), 1) * IFERROR(VLOOKUP(H107, Relic_Price_Config!$G$5:$N$100, 5, FALSE), 10) + ABS(N(R107)) * IFERROR(VLOOKUP(H107, Relic_Price_Config!$G$5:$N$100, 6, FALSE), 15) + IF(N(S107)&gt;1, (N(S107)-1)*10, 0)) * IFERROR(VLOOKUP(G107, Relic_Price_Config!$A$5:$E$9, 2, FALSE), 1), 0))) * 0.1) / 5, 0) * 5)</f>
        <v>70</v>
      </c>
      <c r="AB107" s="2">
        <f t="shared" si="1"/>
        <v>50</v>
      </c>
    </row>
    <row r="108" spans="1:28" ht="17.25" customHeight="1">
      <c r="A108" s="5" t="s">
        <v>600</v>
      </c>
      <c r="B108" s="5" t="s">
        <v>601</v>
      </c>
      <c r="C108" s="9" t="s">
        <v>602</v>
      </c>
      <c r="D108" s="5" t="s">
        <v>59</v>
      </c>
      <c r="E108" s="2" t="s">
        <v>115</v>
      </c>
      <c r="F108" s="5" t="s">
        <v>33</v>
      </c>
      <c r="G108" s="5" t="s">
        <v>295</v>
      </c>
      <c r="H108" s="5" t="s">
        <v>335</v>
      </c>
      <c r="I108" s="5" t="s">
        <v>108</v>
      </c>
      <c r="J108" s="5">
        <v>0</v>
      </c>
      <c r="K108" s="5">
        <v>1</v>
      </c>
      <c r="L108" s="5">
        <v>16</v>
      </c>
      <c r="M108" s="5" t="s">
        <v>37</v>
      </c>
      <c r="N108" s="5">
        <v>1</v>
      </c>
      <c r="O108" s="5">
        <v>1</v>
      </c>
      <c r="P108" s="5">
        <v>10</v>
      </c>
      <c r="Q108" s="5"/>
      <c r="R108" s="5">
        <v>0</v>
      </c>
      <c r="S108" s="5">
        <v>0</v>
      </c>
      <c r="T108" s="5">
        <v>0</v>
      </c>
      <c r="U108" s="5"/>
      <c r="V108" s="5"/>
      <c r="W108" s="5"/>
      <c r="X108" s="5"/>
      <c r="Y108" s="6" t="s">
        <v>603</v>
      </c>
      <c r="Z108" s="6" t="s">
        <v>604</v>
      </c>
      <c r="AA108" s="5">
        <f>IF(OR(D108="Monster", E108="Basic"), 0, ROUND((MIN(IFERROR(VLOOKUP(G108, Relic_Price_Config!$A$5:$E$9, 4, FALSE), 350), MAX(IFERROR(VLOOKUP(G108, Relic_Price_Config!$A$5:$E$9, 3, FALSE), 210), ROUND((IFERROR(VLOOKUP(H108, Relic_Price_Config!$G$5:$N$100, 4, FALSE), 280) + N(L108) * IF(N(O108)&gt;1, N(O108), 1) * IFERROR(VLOOKUP(H108, Relic_Price_Config!$G$5:$N$100, 5, FALSE), 10) + ABS(N(R108)) * IFERROR(VLOOKUP(H108, Relic_Price_Config!$G$5:$N$100, 6, FALSE), 15) + IF(N(S108)&gt;1, (N(S108)-1)*10, 0)) * IFERROR(VLOOKUP(G108, Relic_Price_Config!$A$5:$E$9, 2, FALSE), 1), 0))) * 0.1) / 5, 0) * 5)</f>
        <v>70</v>
      </c>
      <c r="AB108" s="5">
        <f t="shared" si="1"/>
        <v>50</v>
      </c>
    </row>
    <row r="109" spans="1:28" ht="17.25" customHeight="1">
      <c r="A109" s="2" t="s">
        <v>605</v>
      </c>
      <c r="B109" s="2" t="s">
        <v>606</v>
      </c>
      <c r="C109" s="3" t="s">
        <v>607</v>
      </c>
      <c r="D109" s="2" t="s">
        <v>59</v>
      </c>
      <c r="E109" s="2" t="s">
        <v>115</v>
      </c>
      <c r="F109" s="2" t="s">
        <v>33</v>
      </c>
      <c r="G109" s="2" t="s">
        <v>295</v>
      </c>
      <c r="H109" s="2" t="s">
        <v>197</v>
      </c>
      <c r="I109" s="2" t="s">
        <v>108</v>
      </c>
      <c r="J109" s="2">
        <v>0</v>
      </c>
      <c r="K109" s="2">
        <v>1</v>
      </c>
      <c r="L109" s="2">
        <v>24</v>
      </c>
      <c r="M109" s="2" t="s">
        <v>37</v>
      </c>
      <c r="N109" s="2">
        <v>1</v>
      </c>
      <c r="O109" s="2">
        <v>1</v>
      </c>
      <c r="P109" s="2">
        <v>4</v>
      </c>
      <c r="Q109" s="2" t="s">
        <v>19</v>
      </c>
      <c r="R109" s="2">
        <v>6</v>
      </c>
      <c r="S109" s="2">
        <v>0</v>
      </c>
      <c r="T109" s="2">
        <v>6</v>
      </c>
      <c r="U109" s="2"/>
      <c r="V109" s="2"/>
      <c r="W109" s="2"/>
      <c r="X109" s="2"/>
      <c r="Y109" s="3" t="s">
        <v>608</v>
      </c>
      <c r="Z109" s="3" t="s">
        <v>609</v>
      </c>
      <c r="AA109" s="2">
        <f>IF(OR(D109="Monster", E109="Basic"), 0, ROUND((MIN(IFERROR(VLOOKUP(G109, Relic_Price_Config!$A$5:$E$9, 4, FALSE), 350), MAX(IFERROR(VLOOKUP(G109, Relic_Price_Config!$A$5:$E$9, 3, FALSE), 210), ROUND((IFERROR(VLOOKUP(H109, Relic_Price_Config!$G$5:$N$100, 4, FALSE), 280) + N(L109) * IF(N(O109)&gt;1, N(O109), 1) * IFERROR(VLOOKUP(H109, Relic_Price_Config!$G$5:$N$100, 5, FALSE), 10) + ABS(N(R109)) * IFERROR(VLOOKUP(H109, Relic_Price_Config!$G$5:$N$100, 6, FALSE), 15) + IF(N(S109)&gt;1, (N(S109)-1)*10, 0)) * IFERROR(VLOOKUP(G109, Relic_Price_Config!$A$5:$E$9, 2, FALSE), 1), 0))) * 0.1) / 5, 0) * 5)</f>
        <v>70</v>
      </c>
      <c r="AB109" s="2">
        <f t="shared" si="1"/>
        <v>50</v>
      </c>
    </row>
    <row r="110" spans="1:28" ht="17.25" customHeight="1">
      <c r="A110" s="2" t="s">
        <v>610</v>
      </c>
      <c r="B110" s="2" t="s">
        <v>611</v>
      </c>
      <c r="C110" s="3" t="s">
        <v>612</v>
      </c>
      <c r="D110" s="2" t="s">
        <v>76</v>
      </c>
      <c r="E110" s="2" t="s">
        <v>115</v>
      </c>
      <c r="F110" s="2" t="s">
        <v>51</v>
      </c>
      <c r="G110" s="2" t="s">
        <v>34</v>
      </c>
      <c r="H110" s="2" t="s">
        <v>613</v>
      </c>
      <c r="I110" s="2" t="s">
        <v>504</v>
      </c>
      <c r="J110" s="2">
        <v>0</v>
      </c>
      <c r="K110" s="2">
        <v>1</v>
      </c>
      <c r="L110" s="2">
        <v>0</v>
      </c>
      <c r="M110" s="2" t="s">
        <v>38</v>
      </c>
      <c r="N110" s="2">
        <v>1</v>
      </c>
      <c r="O110" s="2">
        <v>1</v>
      </c>
      <c r="P110" s="2">
        <v>0</v>
      </c>
      <c r="Q110" s="2" t="s">
        <v>71</v>
      </c>
      <c r="R110" s="2">
        <v>1</v>
      </c>
      <c r="S110" s="2">
        <v>1</v>
      </c>
      <c r="T110" s="2">
        <v>0</v>
      </c>
      <c r="U110" s="2"/>
      <c r="V110" s="2"/>
      <c r="W110" s="2"/>
      <c r="X110" s="2"/>
      <c r="Y110" s="3" t="s">
        <v>614</v>
      </c>
      <c r="Z110" s="3" t="s">
        <v>615</v>
      </c>
      <c r="AA110" s="2">
        <f>IF(OR(D110="Monster", E110="Basic"), 0, ROUND((MIN(IFERROR(VLOOKUP(G110, Relic_Price_Config!$A$5:$E$9, 4, FALSE), 350), MAX(IFERROR(VLOOKUP(G110, Relic_Price_Config!$A$5:$E$9, 3, FALSE), 210), ROUND((IFERROR(VLOOKUP(H110, Relic_Price_Config!$G$5:$N$100, 4, FALSE), 280) + N(L110) * IF(N(O110)&gt;1, N(O110), 1) * IFERROR(VLOOKUP(H110, Relic_Price_Config!$G$5:$N$100, 5, FALSE), 10) + ABS(N(R110)) * IFERROR(VLOOKUP(H110, Relic_Price_Config!$G$5:$N$100, 6, FALSE), 15) + IF(N(S110)&gt;1, (N(S110)-1)*10, 0)) * IFERROR(VLOOKUP(G110, Relic_Price_Config!$A$5:$E$9, 2, FALSE), 1), 0))) * 0.1) / 5, 0) * 5)</f>
        <v>30</v>
      </c>
      <c r="AB110" s="2">
        <f t="shared" si="1"/>
        <v>20</v>
      </c>
    </row>
    <row r="111" spans="1:28" ht="17.25" customHeight="1">
      <c r="A111" s="5" t="s">
        <v>616</v>
      </c>
      <c r="B111" s="5" t="s">
        <v>617</v>
      </c>
      <c r="C111" s="9" t="s">
        <v>618</v>
      </c>
      <c r="D111" s="5" t="s">
        <v>76</v>
      </c>
      <c r="E111" s="2" t="s">
        <v>115</v>
      </c>
      <c r="F111" s="5" t="s">
        <v>33</v>
      </c>
      <c r="G111" s="5" t="s">
        <v>34</v>
      </c>
      <c r="H111" s="5" t="s">
        <v>35</v>
      </c>
      <c r="I111" s="5" t="s">
        <v>36</v>
      </c>
      <c r="J111" s="5">
        <v>0</v>
      </c>
      <c r="K111" s="5">
        <v>1</v>
      </c>
      <c r="L111" s="5">
        <v>4</v>
      </c>
      <c r="M111" s="5" t="s">
        <v>37</v>
      </c>
      <c r="N111" s="5">
        <v>1</v>
      </c>
      <c r="O111" s="5">
        <v>2</v>
      </c>
      <c r="P111" s="5">
        <v>0</v>
      </c>
      <c r="Q111" s="5" t="s">
        <v>38</v>
      </c>
      <c r="R111" s="5">
        <v>0</v>
      </c>
      <c r="S111" s="5">
        <v>0</v>
      </c>
      <c r="T111" s="5">
        <v>0</v>
      </c>
      <c r="U111" s="5"/>
      <c r="V111" s="5"/>
      <c r="W111" s="5"/>
      <c r="X111" s="5"/>
      <c r="Y111" s="6" t="s">
        <v>619</v>
      </c>
      <c r="Z111" s="6" t="s">
        <v>620</v>
      </c>
      <c r="AA111" s="5">
        <f>IF(OR(D111="Monster", E111="Basic"), 0, ROUND((MIN(IFERROR(VLOOKUP(G111, Relic_Price_Config!$A$5:$E$9, 4, FALSE), 350), MAX(IFERROR(VLOOKUP(G111, Relic_Price_Config!$A$5:$E$9, 3, FALSE), 210), ROUND((IFERROR(VLOOKUP(H111, Relic_Price_Config!$G$5:$N$100, 4, FALSE), 280) + N(L111) * IF(N(O111)&gt;1, N(O111), 1) * IFERROR(VLOOKUP(H111, Relic_Price_Config!$G$5:$N$100, 5, FALSE), 10) + ABS(N(R111)) * IFERROR(VLOOKUP(H111, Relic_Price_Config!$G$5:$N$100, 6, FALSE), 15) + IF(N(S111)&gt;1, (N(S111)-1)*10, 0)) * IFERROR(VLOOKUP(G111, Relic_Price_Config!$A$5:$E$9, 2, FALSE), 1), 0))) * 0.1) / 5, 0) * 5)</f>
        <v>30</v>
      </c>
      <c r="AB111" s="5">
        <f t="shared" si="1"/>
        <v>20</v>
      </c>
    </row>
    <row r="112" spans="1:28" ht="17.25" customHeight="1">
      <c r="A112" s="2" t="s">
        <v>621</v>
      </c>
      <c r="B112" s="2" t="s">
        <v>622</v>
      </c>
      <c r="C112" s="3" t="s">
        <v>623</v>
      </c>
      <c r="D112" s="2" t="s">
        <v>76</v>
      </c>
      <c r="E112" s="2" t="s">
        <v>115</v>
      </c>
      <c r="F112" s="2" t="s">
        <v>43</v>
      </c>
      <c r="G112" s="2" t="s">
        <v>34</v>
      </c>
      <c r="H112" s="2" t="s">
        <v>624</v>
      </c>
      <c r="I112" s="2" t="s">
        <v>504</v>
      </c>
      <c r="J112" s="2">
        <v>0</v>
      </c>
      <c r="K112" s="2">
        <v>1</v>
      </c>
      <c r="L112" s="2">
        <v>2</v>
      </c>
      <c r="M112" s="2" t="s">
        <v>46</v>
      </c>
      <c r="N112" s="2">
        <v>1</v>
      </c>
      <c r="O112" s="2">
        <v>1</v>
      </c>
      <c r="P112" s="2">
        <v>0</v>
      </c>
      <c r="Q112" s="2" t="s">
        <v>38</v>
      </c>
      <c r="R112" s="2">
        <v>0</v>
      </c>
      <c r="S112" s="2">
        <v>0</v>
      </c>
      <c r="T112" s="2">
        <v>0</v>
      </c>
      <c r="U112" s="2"/>
      <c r="V112" s="2"/>
      <c r="W112" s="2"/>
      <c r="X112" s="2"/>
      <c r="Y112" s="3" t="s">
        <v>625</v>
      </c>
      <c r="Z112" s="3" t="s">
        <v>620</v>
      </c>
      <c r="AA112" s="2">
        <f>IF(OR(D112="Monster", E112="Basic"), 0, ROUND((MIN(IFERROR(VLOOKUP(G112, Relic_Price_Config!$A$5:$E$9, 4, FALSE), 350), MAX(IFERROR(VLOOKUP(G112, Relic_Price_Config!$A$5:$E$9, 3, FALSE), 210), ROUND((IFERROR(VLOOKUP(H112, Relic_Price_Config!$G$5:$N$100, 4, FALSE), 280) + N(L112) * IF(N(O112)&gt;1, N(O112), 1) * IFERROR(VLOOKUP(H112, Relic_Price_Config!$G$5:$N$100, 5, FALSE), 10) + ABS(N(R112)) * IFERROR(VLOOKUP(H112, Relic_Price_Config!$G$5:$N$100, 6, FALSE), 15) + IF(N(S112)&gt;1, (N(S112)-1)*10, 0)) * IFERROR(VLOOKUP(G112, Relic_Price_Config!$A$5:$E$9, 2, FALSE), 1), 0))) * 0.1) / 5, 0) * 5)</f>
        <v>30</v>
      </c>
      <c r="AB112" s="2">
        <f t="shared" si="1"/>
        <v>20</v>
      </c>
    </row>
    <row r="113" spans="1:28" ht="17.25" customHeight="1">
      <c r="A113" s="5" t="s">
        <v>626</v>
      </c>
      <c r="B113" s="5" t="s">
        <v>627</v>
      </c>
      <c r="C113" s="9" t="s">
        <v>628</v>
      </c>
      <c r="D113" s="5" t="s">
        <v>76</v>
      </c>
      <c r="E113" s="2" t="s">
        <v>115</v>
      </c>
      <c r="F113" s="5" t="s">
        <v>43</v>
      </c>
      <c r="G113" s="5" t="s">
        <v>34</v>
      </c>
      <c r="H113" s="5" t="s">
        <v>44</v>
      </c>
      <c r="I113" s="5" t="s">
        <v>45</v>
      </c>
      <c r="J113" s="5">
        <v>0</v>
      </c>
      <c r="K113" s="5">
        <v>1</v>
      </c>
      <c r="L113" s="5">
        <v>8</v>
      </c>
      <c r="M113" s="5" t="s">
        <v>46</v>
      </c>
      <c r="N113" s="5">
        <v>1</v>
      </c>
      <c r="O113" s="5">
        <v>1</v>
      </c>
      <c r="P113" s="5">
        <v>0</v>
      </c>
      <c r="Q113" s="5" t="s">
        <v>38</v>
      </c>
      <c r="R113" s="5">
        <v>0</v>
      </c>
      <c r="S113" s="5">
        <v>0</v>
      </c>
      <c r="T113" s="5">
        <v>0</v>
      </c>
      <c r="U113" s="5"/>
      <c r="V113" s="5"/>
      <c r="W113" s="5"/>
      <c r="X113" s="5"/>
      <c r="Y113" s="6" t="s">
        <v>629</v>
      </c>
      <c r="Z113" s="6" t="s">
        <v>620</v>
      </c>
      <c r="AA113" s="5">
        <f>IF(OR(D113="Monster", E113="Basic"), 0, ROUND((MIN(IFERROR(VLOOKUP(G113, Relic_Price_Config!$A$5:$E$9, 4, FALSE), 350), MAX(IFERROR(VLOOKUP(G113, Relic_Price_Config!$A$5:$E$9, 3, FALSE), 210), ROUND((IFERROR(VLOOKUP(H113, Relic_Price_Config!$G$5:$N$100, 4, FALSE), 280) + N(L113) * IF(N(O113)&gt;1, N(O113), 1) * IFERROR(VLOOKUP(H113, Relic_Price_Config!$G$5:$N$100, 5, FALSE), 10) + ABS(N(R113)) * IFERROR(VLOOKUP(H113, Relic_Price_Config!$G$5:$N$100, 6, FALSE), 15) + IF(N(S113)&gt;1, (N(S113)-1)*10, 0)) * IFERROR(VLOOKUP(G113, Relic_Price_Config!$A$5:$E$9, 2, FALSE), 1), 0))) * 0.1) / 5, 0) * 5)</f>
        <v>35</v>
      </c>
      <c r="AB113" s="5">
        <f t="shared" si="1"/>
        <v>25</v>
      </c>
    </row>
    <row r="114" spans="1:28" ht="17.25" customHeight="1">
      <c r="A114" s="2" t="s">
        <v>630</v>
      </c>
      <c r="B114" s="2" t="s">
        <v>631</v>
      </c>
      <c r="C114" s="3" t="s">
        <v>632</v>
      </c>
      <c r="D114" s="2" t="s">
        <v>76</v>
      </c>
      <c r="E114" s="2" t="s">
        <v>115</v>
      </c>
      <c r="F114" s="2" t="s">
        <v>33</v>
      </c>
      <c r="G114" s="2" t="s">
        <v>34</v>
      </c>
      <c r="H114" s="2" t="s">
        <v>77</v>
      </c>
      <c r="I114" s="2" t="s">
        <v>36</v>
      </c>
      <c r="J114" s="2">
        <v>0</v>
      </c>
      <c r="K114" s="2">
        <v>1</v>
      </c>
      <c r="L114" s="2">
        <v>7</v>
      </c>
      <c r="M114" s="2" t="s">
        <v>37</v>
      </c>
      <c r="N114" s="2">
        <v>1</v>
      </c>
      <c r="O114" s="2">
        <v>1</v>
      </c>
      <c r="P114" s="2">
        <v>0</v>
      </c>
      <c r="Q114" s="2" t="s">
        <v>38</v>
      </c>
      <c r="R114" s="2">
        <v>0</v>
      </c>
      <c r="S114" s="2">
        <v>0</v>
      </c>
      <c r="T114" s="2">
        <v>0</v>
      </c>
      <c r="U114" s="2"/>
      <c r="V114" s="2"/>
      <c r="W114" s="2"/>
      <c r="X114" s="2"/>
      <c r="Y114" s="3" t="s">
        <v>633</v>
      </c>
      <c r="Z114" s="3" t="s">
        <v>634</v>
      </c>
      <c r="AA114" s="2">
        <f>IF(OR(D114="Monster", E114="Basic"), 0, ROUND((MIN(IFERROR(VLOOKUP(G114, Relic_Price_Config!$A$5:$E$9, 4, FALSE), 350), MAX(IFERROR(VLOOKUP(G114, Relic_Price_Config!$A$5:$E$9, 3, FALSE), 210), ROUND((IFERROR(VLOOKUP(H114, Relic_Price_Config!$G$5:$N$100, 4, FALSE), 280) + N(L114) * IF(N(O114)&gt;1, N(O114), 1) * IFERROR(VLOOKUP(H114, Relic_Price_Config!$G$5:$N$100, 5, FALSE), 10) + ABS(N(R114)) * IFERROR(VLOOKUP(H114, Relic_Price_Config!$G$5:$N$100, 6, FALSE), 15) + IF(N(S114)&gt;1, (N(S114)-1)*10, 0)) * IFERROR(VLOOKUP(G114, Relic_Price_Config!$A$5:$E$9, 2, FALSE), 1), 0))) * 0.1) / 5, 0) * 5)</f>
        <v>30</v>
      </c>
      <c r="AB114" s="2">
        <f t="shared" si="1"/>
        <v>20</v>
      </c>
    </row>
    <row r="115" spans="1:28" ht="17.25" customHeight="1">
      <c r="A115" s="5" t="s">
        <v>635</v>
      </c>
      <c r="B115" s="5" t="s">
        <v>636</v>
      </c>
      <c r="C115" s="9" t="s">
        <v>637</v>
      </c>
      <c r="D115" s="5" t="s">
        <v>76</v>
      </c>
      <c r="E115" s="2" t="s">
        <v>115</v>
      </c>
      <c r="F115" s="5" t="s">
        <v>43</v>
      </c>
      <c r="G115" s="5" t="s">
        <v>34</v>
      </c>
      <c r="H115" s="5" t="s">
        <v>638</v>
      </c>
      <c r="I115" s="5" t="s">
        <v>504</v>
      </c>
      <c r="J115" s="5">
        <v>0</v>
      </c>
      <c r="K115" s="5">
        <v>1</v>
      </c>
      <c r="L115" s="5">
        <v>4</v>
      </c>
      <c r="M115" s="5" t="s">
        <v>46</v>
      </c>
      <c r="N115" s="5">
        <v>1</v>
      </c>
      <c r="O115" s="5">
        <v>1</v>
      </c>
      <c r="P115" s="5">
        <v>0</v>
      </c>
      <c r="Q115" s="5" t="s">
        <v>38</v>
      </c>
      <c r="R115" s="5">
        <v>0</v>
      </c>
      <c r="S115" s="5">
        <v>0</v>
      </c>
      <c r="T115" s="5">
        <v>0</v>
      </c>
      <c r="U115" s="5"/>
      <c r="V115" s="5"/>
      <c r="W115" s="5"/>
      <c r="X115" s="5"/>
      <c r="Y115" s="6" t="s">
        <v>639</v>
      </c>
      <c r="Z115" s="6" t="s">
        <v>620</v>
      </c>
      <c r="AA115" s="5">
        <f>IF(OR(D115="Monster", E115="Basic"), 0, ROUND((MIN(IFERROR(VLOOKUP(G115, Relic_Price_Config!$A$5:$E$9, 4, FALSE), 350), MAX(IFERROR(VLOOKUP(G115, Relic_Price_Config!$A$5:$E$9, 3, FALSE), 210), ROUND((IFERROR(VLOOKUP(H115, Relic_Price_Config!$G$5:$N$100, 4, FALSE), 280) + N(L115) * IF(N(O115)&gt;1, N(O115), 1) * IFERROR(VLOOKUP(H115, Relic_Price_Config!$G$5:$N$100, 5, FALSE), 10) + ABS(N(R115)) * IFERROR(VLOOKUP(H115, Relic_Price_Config!$G$5:$N$100, 6, FALSE), 15) + IF(N(S115)&gt;1, (N(S115)-1)*10, 0)) * IFERROR(VLOOKUP(G115, Relic_Price_Config!$A$5:$E$9, 2, FALSE), 1), 0))) * 0.1) / 5, 0) * 5)</f>
        <v>35</v>
      </c>
      <c r="AB115" s="5">
        <f t="shared" si="1"/>
        <v>25</v>
      </c>
    </row>
    <row r="116" spans="1:28" ht="17.25" customHeight="1">
      <c r="A116" s="2" t="s">
        <v>640</v>
      </c>
      <c r="B116" s="2" t="s">
        <v>641</v>
      </c>
      <c r="C116" s="3" t="s">
        <v>642</v>
      </c>
      <c r="D116" s="2" t="s">
        <v>76</v>
      </c>
      <c r="E116" s="2" t="s">
        <v>115</v>
      </c>
      <c r="F116" s="2" t="s">
        <v>33</v>
      </c>
      <c r="G116" s="2" t="s">
        <v>34</v>
      </c>
      <c r="H116" s="2" t="s">
        <v>534</v>
      </c>
      <c r="I116" s="2" t="s">
        <v>36</v>
      </c>
      <c r="J116" s="2">
        <v>0</v>
      </c>
      <c r="K116" s="2">
        <v>1</v>
      </c>
      <c r="L116" s="2">
        <v>10</v>
      </c>
      <c r="M116" s="2" t="s">
        <v>37</v>
      </c>
      <c r="N116" s="2">
        <v>1</v>
      </c>
      <c r="O116" s="2">
        <v>1</v>
      </c>
      <c r="P116" s="2">
        <v>0</v>
      </c>
      <c r="Q116" s="2" t="s">
        <v>19</v>
      </c>
      <c r="R116" s="2">
        <v>3</v>
      </c>
      <c r="S116" s="2">
        <v>0</v>
      </c>
      <c r="T116" s="2">
        <v>3</v>
      </c>
      <c r="U116" s="2"/>
      <c r="V116" s="2"/>
      <c r="W116" s="2"/>
      <c r="X116" s="2"/>
      <c r="Y116" s="3" t="s">
        <v>643</v>
      </c>
      <c r="Z116" s="3" t="s">
        <v>644</v>
      </c>
      <c r="AA116" s="2">
        <f>IF(OR(D116="Monster", E116="Basic"), 0, ROUND((MIN(IFERROR(VLOOKUP(G116, Relic_Price_Config!$A$5:$E$9, 4, FALSE), 350), MAX(IFERROR(VLOOKUP(G116, Relic_Price_Config!$A$5:$E$9, 3, FALSE), 210), ROUND((IFERROR(VLOOKUP(H116, Relic_Price_Config!$G$5:$N$100, 4, FALSE), 280) + N(L116) * IF(N(O116)&gt;1, N(O116), 1) * IFERROR(VLOOKUP(H116, Relic_Price_Config!$G$5:$N$100, 5, FALSE), 10) + ABS(N(R116)) * IFERROR(VLOOKUP(H116, Relic_Price_Config!$G$5:$N$100, 6, FALSE), 15) + IF(N(S116)&gt;1, (N(S116)-1)*10, 0)) * IFERROR(VLOOKUP(G116, Relic_Price_Config!$A$5:$E$9, 2, FALSE), 1), 0))) * 0.1) / 5, 0) * 5)</f>
        <v>30</v>
      </c>
      <c r="AB116" s="2">
        <f t="shared" si="1"/>
        <v>20</v>
      </c>
    </row>
    <row r="117" spans="1:28" ht="17.25" customHeight="1">
      <c r="A117" s="5" t="s">
        <v>645</v>
      </c>
      <c r="B117" s="5" t="s">
        <v>646</v>
      </c>
      <c r="C117" s="9" t="s">
        <v>647</v>
      </c>
      <c r="D117" s="5" t="s">
        <v>76</v>
      </c>
      <c r="E117" s="2" t="s">
        <v>115</v>
      </c>
      <c r="F117" s="5" t="s">
        <v>51</v>
      </c>
      <c r="G117" s="5" t="s">
        <v>34</v>
      </c>
      <c r="H117" s="5" t="s">
        <v>146</v>
      </c>
      <c r="I117" s="5" t="s">
        <v>45</v>
      </c>
      <c r="J117" s="5">
        <v>0</v>
      </c>
      <c r="K117" s="5">
        <v>1</v>
      </c>
      <c r="L117" s="5">
        <v>1</v>
      </c>
      <c r="M117" s="5" t="s">
        <v>38</v>
      </c>
      <c r="N117" s="5">
        <v>0</v>
      </c>
      <c r="O117" s="5">
        <v>1</v>
      </c>
      <c r="P117" s="5">
        <v>0</v>
      </c>
      <c r="Q117" s="5" t="s">
        <v>38</v>
      </c>
      <c r="R117" s="5">
        <v>0</v>
      </c>
      <c r="S117" s="5">
        <v>0</v>
      </c>
      <c r="T117" s="5">
        <v>0</v>
      </c>
      <c r="U117" s="5"/>
      <c r="V117" s="5"/>
      <c r="W117" s="5"/>
      <c r="X117" s="5"/>
      <c r="Y117" s="6" t="s">
        <v>648</v>
      </c>
      <c r="Z117" s="6" t="s">
        <v>620</v>
      </c>
      <c r="AA117" s="5">
        <f>IF(OR(D117="Monster", E117="Basic"), 0, ROUND((MIN(IFERROR(VLOOKUP(G117, Relic_Price_Config!$A$5:$E$9, 4, FALSE), 350), MAX(IFERROR(VLOOKUP(G117, Relic_Price_Config!$A$5:$E$9, 3, FALSE), 210), ROUND((IFERROR(VLOOKUP(H117, Relic_Price_Config!$G$5:$N$100, 4, FALSE), 280) + N(L117) * IF(N(O117)&gt;1, N(O117), 1) * IFERROR(VLOOKUP(H117, Relic_Price_Config!$G$5:$N$100, 5, FALSE), 10) + ABS(N(R117)) * IFERROR(VLOOKUP(H117, Relic_Price_Config!$G$5:$N$100, 6, FALSE), 15) + IF(N(S117)&gt;1, (N(S117)-1)*10, 0)) * IFERROR(VLOOKUP(G117, Relic_Price_Config!$A$5:$E$9, 2, FALSE), 1), 0))) * 0.1) / 5, 0) * 5)</f>
        <v>35</v>
      </c>
      <c r="AB117" s="5">
        <f t="shared" si="1"/>
        <v>25</v>
      </c>
    </row>
    <row r="118" spans="1:28" ht="17.25" customHeight="1">
      <c r="A118" s="2" t="s">
        <v>649</v>
      </c>
      <c r="B118" s="2" t="s">
        <v>650</v>
      </c>
      <c r="C118" s="3" t="s">
        <v>651</v>
      </c>
      <c r="D118" s="2" t="s">
        <v>76</v>
      </c>
      <c r="E118" s="2" t="s">
        <v>115</v>
      </c>
      <c r="F118" s="2" t="s">
        <v>33</v>
      </c>
      <c r="G118" s="2" t="s">
        <v>34</v>
      </c>
      <c r="H118" s="2" t="s">
        <v>652</v>
      </c>
      <c r="I118" s="2" t="s">
        <v>108</v>
      </c>
      <c r="J118" s="2">
        <v>0</v>
      </c>
      <c r="K118" s="2">
        <v>1</v>
      </c>
      <c r="L118" s="2">
        <v>5</v>
      </c>
      <c r="M118" s="2" t="s">
        <v>37</v>
      </c>
      <c r="N118" s="2">
        <v>1</v>
      </c>
      <c r="O118" s="2">
        <v>1</v>
      </c>
      <c r="P118" s="2">
        <v>0</v>
      </c>
      <c r="Q118" s="2" t="s">
        <v>38</v>
      </c>
      <c r="R118" s="2">
        <v>0</v>
      </c>
      <c r="S118" s="2">
        <v>0</v>
      </c>
      <c r="T118" s="2">
        <v>0</v>
      </c>
      <c r="U118" s="2"/>
      <c r="V118" s="2"/>
      <c r="W118" s="2"/>
      <c r="X118" s="2"/>
      <c r="Y118" s="3" t="s">
        <v>653</v>
      </c>
      <c r="Z118" s="3" t="s">
        <v>634</v>
      </c>
      <c r="AA118" s="2">
        <f>IF(OR(D118="Monster", E118="Basic"), 0, ROUND((MIN(IFERROR(VLOOKUP(G118, Relic_Price_Config!$A$5:$E$9, 4, FALSE), 350), MAX(IFERROR(VLOOKUP(G118, Relic_Price_Config!$A$5:$E$9, 3, FALSE), 210), ROUND((IFERROR(VLOOKUP(H118, Relic_Price_Config!$G$5:$N$100, 4, FALSE), 280) + N(L118) * IF(N(O118)&gt;1, N(O118), 1) * IFERROR(VLOOKUP(H118, Relic_Price_Config!$G$5:$N$100, 5, FALSE), 10) + ABS(N(R118)) * IFERROR(VLOOKUP(H118, Relic_Price_Config!$G$5:$N$100, 6, FALSE), 15) + IF(N(S118)&gt;1, (N(S118)-1)*10, 0)) * IFERROR(VLOOKUP(G118, Relic_Price_Config!$A$5:$E$9, 2, FALSE), 1), 0))) * 0.1) / 5, 0) * 5)</f>
        <v>30</v>
      </c>
      <c r="AB118" s="2">
        <f t="shared" si="1"/>
        <v>20</v>
      </c>
    </row>
    <row r="119" spans="1:28" ht="17.25" customHeight="1">
      <c r="A119" s="5" t="s">
        <v>654</v>
      </c>
      <c r="B119" s="5" t="s">
        <v>655</v>
      </c>
      <c r="C119" s="9" t="s">
        <v>656</v>
      </c>
      <c r="D119" s="5" t="s">
        <v>76</v>
      </c>
      <c r="E119" s="2" t="s">
        <v>115</v>
      </c>
      <c r="F119" s="5" t="s">
        <v>43</v>
      </c>
      <c r="G119" s="5" t="s">
        <v>34</v>
      </c>
      <c r="H119" s="5" t="s">
        <v>52</v>
      </c>
      <c r="I119" s="5" t="s">
        <v>45</v>
      </c>
      <c r="J119" s="5">
        <v>0</v>
      </c>
      <c r="K119" s="5">
        <v>1</v>
      </c>
      <c r="L119" s="5">
        <v>5</v>
      </c>
      <c r="M119" s="5" t="s">
        <v>46</v>
      </c>
      <c r="N119" s="5">
        <v>1</v>
      </c>
      <c r="O119" s="5">
        <v>1</v>
      </c>
      <c r="P119" s="5">
        <v>2</v>
      </c>
      <c r="Q119" s="5" t="s">
        <v>53</v>
      </c>
      <c r="R119" s="5">
        <v>1</v>
      </c>
      <c r="S119" s="5">
        <v>1</v>
      </c>
      <c r="T119" s="5">
        <v>0</v>
      </c>
      <c r="U119" s="5"/>
      <c r="V119" s="5"/>
      <c r="W119" s="5"/>
      <c r="X119" s="5"/>
      <c r="Y119" s="6" t="s">
        <v>657</v>
      </c>
      <c r="Z119" s="6" t="s">
        <v>658</v>
      </c>
      <c r="AA119" s="5">
        <f>IF(OR(D119="Monster", E119="Basic"), 0, ROUND((MIN(IFERROR(VLOOKUP(G119, Relic_Price_Config!$A$5:$E$9, 4, FALSE), 350), MAX(IFERROR(VLOOKUP(G119, Relic_Price_Config!$A$5:$E$9, 3, FALSE), 210), ROUND((IFERROR(VLOOKUP(H119, Relic_Price_Config!$G$5:$N$100, 4, FALSE), 280) + N(L119) * IF(N(O119)&gt;1, N(O119), 1) * IFERROR(VLOOKUP(H119, Relic_Price_Config!$G$5:$N$100, 5, FALSE), 10) + ABS(N(R119)) * IFERROR(VLOOKUP(H119, Relic_Price_Config!$G$5:$N$100, 6, FALSE), 15) + IF(N(S119)&gt;1, (N(S119)-1)*10, 0)) * IFERROR(VLOOKUP(G119, Relic_Price_Config!$A$5:$E$9, 2, FALSE), 1), 0))) * 0.1) / 5, 0) * 5)</f>
        <v>30</v>
      </c>
      <c r="AB119" s="5">
        <f t="shared" si="1"/>
        <v>20</v>
      </c>
    </row>
    <row r="120" spans="1:28" ht="17.25" customHeight="1">
      <c r="A120" s="2" t="s">
        <v>659</v>
      </c>
      <c r="B120" s="2" t="s">
        <v>660</v>
      </c>
      <c r="C120" s="3" t="s">
        <v>661</v>
      </c>
      <c r="D120" s="2" t="s">
        <v>76</v>
      </c>
      <c r="E120" s="2" t="s">
        <v>115</v>
      </c>
      <c r="F120" s="2" t="s">
        <v>33</v>
      </c>
      <c r="G120" s="2" t="s">
        <v>34</v>
      </c>
      <c r="H120" s="2" t="s">
        <v>140</v>
      </c>
      <c r="I120" s="2" t="s">
        <v>36</v>
      </c>
      <c r="J120" s="2">
        <v>0</v>
      </c>
      <c r="K120" s="2">
        <v>1</v>
      </c>
      <c r="L120" s="2">
        <v>6</v>
      </c>
      <c r="M120" s="2" t="s">
        <v>37</v>
      </c>
      <c r="N120" s="2">
        <v>1</v>
      </c>
      <c r="O120" s="2">
        <v>1</v>
      </c>
      <c r="P120" s="2">
        <v>3</v>
      </c>
      <c r="Q120" s="2" t="s">
        <v>38</v>
      </c>
      <c r="R120" s="2">
        <v>0</v>
      </c>
      <c r="S120" s="2">
        <v>0</v>
      </c>
      <c r="T120" s="2">
        <v>0</v>
      </c>
      <c r="U120" s="2"/>
      <c r="V120" s="2"/>
      <c r="W120" s="2"/>
      <c r="X120" s="2"/>
      <c r="Y120" s="3" t="s">
        <v>662</v>
      </c>
      <c r="Z120" s="3" t="s">
        <v>663</v>
      </c>
      <c r="AA120" s="2">
        <f>IF(OR(D120="Monster", E120="Basic"), 0, ROUND((MIN(IFERROR(VLOOKUP(G120, Relic_Price_Config!$A$5:$E$9, 4, FALSE), 350), MAX(IFERROR(VLOOKUP(G120, Relic_Price_Config!$A$5:$E$9, 3, FALSE), 210), ROUND((IFERROR(VLOOKUP(H120, Relic_Price_Config!$G$5:$N$100, 4, FALSE), 280) + N(L120) * IF(N(O120)&gt;1, N(O120), 1) * IFERROR(VLOOKUP(H120, Relic_Price_Config!$G$5:$N$100, 5, FALSE), 10) + ABS(N(R120)) * IFERROR(VLOOKUP(H120, Relic_Price_Config!$G$5:$N$100, 6, FALSE), 15) + IF(N(S120)&gt;1, (N(S120)-1)*10, 0)) * IFERROR(VLOOKUP(G120, Relic_Price_Config!$A$5:$E$9, 2, FALSE), 1), 0))) * 0.1) / 5, 0) * 5)</f>
        <v>30</v>
      </c>
      <c r="AB120" s="2">
        <f t="shared" si="1"/>
        <v>20</v>
      </c>
    </row>
    <row r="121" spans="1:28" ht="17.25" customHeight="1">
      <c r="A121" s="5" t="s">
        <v>664</v>
      </c>
      <c r="B121" s="5" t="s">
        <v>665</v>
      </c>
      <c r="C121" s="9" t="s">
        <v>666</v>
      </c>
      <c r="D121" s="5" t="s">
        <v>76</v>
      </c>
      <c r="E121" s="2" t="s">
        <v>115</v>
      </c>
      <c r="F121" s="5" t="s">
        <v>33</v>
      </c>
      <c r="G121" s="5" t="s">
        <v>34</v>
      </c>
      <c r="H121" s="5" t="s">
        <v>152</v>
      </c>
      <c r="I121" s="5" t="s">
        <v>36</v>
      </c>
      <c r="J121" s="5">
        <v>0</v>
      </c>
      <c r="K121" s="5">
        <v>1</v>
      </c>
      <c r="L121" s="5">
        <v>5</v>
      </c>
      <c r="M121" s="5" t="s">
        <v>37</v>
      </c>
      <c r="N121" s="5">
        <v>1</v>
      </c>
      <c r="O121" s="5">
        <v>1</v>
      </c>
      <c r="P121" s="5">
        <v>3</v>
      </c>
      <c r="Q121" s="5"/>
      <c r="R121" s="5">
        <v>0</v>
      </c>
      <c r="S121" s="5">
        <v>0</v>
      </c>
      <c r="T121" s="5">
        <v>0</v>
      </c>
      <c r="U121" s="5"/>
      <c r="V121" s="5"/>
      <c r="W121" s="5"/>
      <c r="X121" s="5"/>
      <c r="Y121" s="6" t="s">
        <v>667</v>
      </c>
      <c r="Z121" s="6" t="s">
        <v>668</v>
      </c>
      <c r="AA121" s="5">
        <f>IF(OR(D121="Monster", E121="Basic"), 0, ROUND((MIN(IFERROR(VLOOKUP(G121, Relic_Price_Config!$A$5:$E$9, 4, FALSE), 350), MAX(IFERROR(VLOOKUP(G121, Relic_Price_Config!$A$5:$E$9, 3, FALSE), 210), ROUND((IFERROR(VLOOKUP(H121, Relic_Price_Config!$G$5:$N$100, 4, FALSE), 280) + N(L121) * IF(N(O121)&gt;1, N(O121), 1) * IFERROR(VLOOKUP(H121, Relic_Price_Config!$G$5:$N$100, 5, FALSE), 10) + ABS(N(R121)) * IFERROR(VLOOKUP(H121, Relic_Price_Config!$G$5:$N$100, 6, FALSE), 15) + IF(N(S121)&gt;1, (N(S121)-1)*10, 0)) * IFERROR(VLOOKUP(G121, Relic_Price_Config!$A$5:$E$9, 2, FALSE), 1), 0))) * 0.1) / 5, 0) * 5)</f>
        <v>30</v>
      </c>
      <c r="AB121" s="5">
        <f t="shared" si="1"/>
        <v>20</v>
      </c>
    </row>
    <row r="122" spans="1:28" ht="17.25" customHeight="1">
      <c r="A122" s="2" t="s">
        <v>669</v>
      </c>
      <c r="B122" s="2" t="s">
        <v>670</v>
      </c>
      <c r="C122" s="3" t="s">
        <v>671</v>
      </c>
      <c r="D122" s="2" t="s">
        <v>76</v>
      </c>
      <c r="E122" s="2" t="s">
        <v>115</v>
      </c>
      <c r="F122" s="2" t="s">
        <v>51</v>
      </c>
      <c r="G122" s="2" t="s">
        <v>34</v>
      </c>
      <c r="H122" s="2" t="s">
        <v>672</v>
      </c>
      <c r="I122" s="2" t="s">
        <v>504</v>
      </c>
      <c r="J122" s="2">
        <v>0</v>
      </c>
      <c r="K122" s="2">
        <v>1</v>
      </c>
      <c r="L122" s="2">
        <v>0</v>
      </c>
      <c r="M122" s="2"/>
      <c r="N122" s="2">
        <v>0</v>
      </c>
      <c r="O122" s="2">
        <v>1</v>
      </c>
      <c r="P122" s="2">
        <v>0</v>
      </c>
      <c r="Q122" s="2" t="s">
        <v>229</v>
      </c>
      <c r="R122" s="2">
        <v>1</v>
      </c>
      <c r="S122" s="2">
        <v>2</v>
      </c>
      <c r="T122" s="2">
        <v>0</v>
      </c>
      <c r="U122" s="2"/>
      <c r="V122" s="2"/>
      <c r="W122" s="2"/>
      <c r="X122" s="2"/>
      <c r="Y122" s="3" t="s">
        <v>673</v>
      </c>
      <c r="Z122" s="3" t="s">
        <v>674</v>
      </c>
      <c r="AA122" s="2">
        <f>IF(OR(D122="Monster", E122="Basic"), 0, ROUND((MIN(IFERROR(VLOOKUP(G122, Relic_Price_Config!$A$5:$E$9, 4, FALSE), 350), MAX(IFERROR(VLOOKUP(G122, Relic_Price_Config!$A$5:$E$9, 3, FALSE), 210), ROUND((IFERROR(VLOOKUP(H122, Relic_Price_Config!$G$5:$N$100, 4, FALSE), 280) + N(L122) * IF(N(O122)&gt;1, N(O122), 1) * IFERROR(VLOOKUP(H122, Relic_Price_Config!$G$5:$N$100, 5, FALSE), 10) + ABS(N(R122)) * IFERROR(VLOOKUP(H122, Relic_Price_Config!$G$5:$N$100, 6, FALSE), 15) + IF(N(S122)&gt;1, (N(S122)-1)*10, 0)) * IFERROR(VLOOKUP(G122, Relic_Price_Config!$A$5:$E$9, 2, FALSE), 1), 0))) * 0.1) / 5, 0) * 5)</f>
        <v>35</v>
      </c>
      <c r="AB122" s="2">
        <f t="shared" si="1"/>
        <v>25</v>
      </c>
    </row>
    <row r="123" spans="1:28" ht="16.8" customHeight="1">
      <c r="A123" s="5" t="s">
        <v>675</v>
      </c>
      <c r="B123" s="5" t="s">
        <v>676</v>
      </c>
      <c r="C123" s="9" t="s">
        <v>677</v>
      </c>
      <c r="D123" s="5" t="s">
        <v>76</v>
      </c>
      <c r="E123" s="2" t="s">
        <v>115</v>
      </c>
      <c r="F123" s="5" t="s">
        <v>43</v>
      </c>
      <c r="G123" s="5" t="s">
        <v>34</v>
      </c>
      <c r="H123" s="5" t="s">
        <v>678</v>
      </c>
      <c r="I123" s="5" t="s">
        <v>45</v>
      </c>
      <c r="J123" s="5">
        <v>0</v>
      </c>
      <c r="K123" s="5">
        <v>1</v>
      </c>
      <c r="L123" s="5">
        <v>6</v>
      </c>
      <c r="M123" s="5" t="s">
        <v>46</v>
      </c>
      <c r="N123" s="5">
        <v>1</v>
      </c>
      <c r="O123" s="5">
        <v>1</v>
      </c>
      <c r="P123" s="5">
        <v>0</v>
      </c>
      <c r="Q123" s="5" t="s">
        <v>159</v>
      </c>
      <c r="R123" s="5">
        <v>1</v>
      </c>
      <c r="S123" s="5">
        <v>1</v>
      </c>
      <c r="T123" s="5">
        <v>0</v>
      </c>
      <c r="U123" s="5"/>
      <c r="V123" s="5"/>
      <c r="W123" s="5"/>
      <c r="X123" s="5"/>
      <c r="Y123" s="6" t="s">
        <v>679</v>
      </c>
      <c r="Z123" s="6" t="s">
        <v>680</v>
      </c>
      <c r="AA123" s="5">
        <f>IF(OR(D123="Monster", E123="Basic"), 0, ROUND((MIN(IFERROR(VLOOKUP(G123, Relic_Price_Config!$A$5:$E$9, 4, FALSE), 350), MAX(IFERROR(VLOOKUP(G123, Relic_Price_Config!$A$5:$E$9, 3, FALSE), 210), ROUND((IFERROR(VLOOKUP(H123, Relic_Price_Config!$G$5:$N$100, 4, FALSE), 280) + N(L123) * IF(N(O123)&gt;1, N(O123), 1) * IFERROR(VLOOKUP(H123, Relic_Price_Config!$G$5:$N$100, 5, FALSE), 10) + ABS(N(R123)) * IFERROR(VLOOKUP(H123, Relic_Price_Config!$G$5:$N$100, 6, FALSE), 15) + IF(N(S123)&gt;1, (N(S123)-1)*10, 0)) * IFERROR(VLOOKUP(G123, Relic_Price_Config!$A$5:$E$9, 2, FALSE), 1), 0))) * 0.1) / 5, 0) * 5)</f>
        <v>30</v>
      </c>
      <c r="AB123" s="5">
        <f t="shared" si="1"/>
        <v>20</v>
      </c>
    </row>
    <row r="124" spans="1:28" ht="17.25" customHeight="1">
      <c r="A124" s="2" t="s">
        <v>681</v>
      </c>
      <c r="B124" s="2" t="s">
        <v>682</v>
      </c>
      <c r="C124" s="3" t="s">
        <v>683</v>
      </c>
      <c r="D124" s="2" t="s">
        <v>76</v>
      </c>
      <c r="E124" s="2" t="s">
        <v>115</v>
      </c>
      <c r="F124" s="2" t="s">
        <v>33</v>
      </c>
      <c r="G124" s="2" t="s">
        <v>34</v>
      </c>
      <c r="H124" s="2" t="s">
        <v>412</v>
      </c>
      <c r="I124" s="2" t="s">
        <v>108</v>
      </c>
      <c r="J124" s="2">
        <v>0</v>
      </c>
      <c r="K124" s="2">
        <v>1</v>
      </c>
      <c r="L124" s="2">
        <v>4</v>
      </c>
      <c r="M124" s="2" t="s">
        <v>37</v>
      </c>
      <c r="N124" s="2">
        <v>1</v>
      </c>
      <c r="O124" s="2">
        <v>1</v>
      </c>
      <c r="P124" s="2">
        <v>0</v>
      </c>
      <c r="Q124" s="2" t="s">
        <v>413</v>
      </c>
      <c r="R124" s="2">
        <v>1</v>
      </c>
      <c r="S124" s="2">
        <v>1</v>
      </c>
      <c r="T124" s="2">
        <v>0</v>
      </c>
      <c r="U124" s="2"/>
      <c r="V124" s="2"/>
      <c r="W124" s="2"/>
      <c r="X124" s="2"/>
      <c r="Y124" s="3" t="s">
        <v>684</v>
      </c>
      <c r="Z124" s="3" t="s">
        <v>685</v>
      </c>
      <c r="AA124" s="2">
        <f>IF(OR(D124="Monster", E124="Basic"), 0, ROUND((MIN(IFERROR(VLOOKUP(G124, Relic_Price_Config!$A$5:$E$9, 4, FALSE), 350), MAX(IFERROR(VLOOKUP(G124, Relic_Price_Config!$A$5:$E$9, 3, FALSE), 210), ROUND((IFERROR(VLOOKUP(H124, Relic_Price_Config!$G$5:$N$100, 4, FALSE), 280) + N(L124) * IF(N(O124)&gt;1, N(O124), 1) * IFERROR(VLOOKUP(H124, Relic_Price_Config!$G$5:$N$100, 5, FALSE), 10) + ABS(N(R124)) * IFERROR(VLOOKUP(H124, Relic_Price_Config!$G$5:$N$100, 6, FALSE), 15) + IF(N(S124)&gt;1, (N(S124)-1)*10, 0)) * IFERROR(VLOOKUP(G124, Relic_Price_Config!$A$5:$E$9, 2, FALSE), 1), 0))) * 0.1) / 5, 0) * 5)</f>
        <v>30</v>
      </c>
      <c r="AB124" s="2">
        <f t="shared" si="1"/>
        <v>20</v>
      </c>
    </row>
    <row r="125" spans="1:28" ht="17.25" customHeight="1">
      <c r="A125" s="5" t="s">
        <v>686</v>
      </c>
      <c r="B125" s="5" t="s">
        <v>687</v>
      </c>
      <c r="C125" s="9" t="s">
        <v>688</v>
      </c>
      <c r="D125" s="5" t="s">
        <v>76</v>
      </c>
      <c r="E125" s="2" t="s">
        <v>115</v>
      </c>
      <c r="F125" s="5" t="s">
        <v>51</v>
      </c>
      <c r="G125" s="5" t="s">
        <v>208</v>
      </c>
      <c r="H125" s="5" t="s">
        <v>613</v>
      </c>
      <c r="I125" s="5" t="s">
        <v>504</v>
      </c>
      <c r="J125" s="5">
        <v>0</v>
      </c>
      <c r="K125" s="5">
        <v>1</v>
      </c>
      <c r="L125" s="5">
        <v>0</v>
      </c>
      <c r="M125" s="5"/>
      <c r="N125" s="5">
        <v>0</v>
      </c>
      <c r="O125" s="5">
        <v>1</v>
      </c>
      <c r="P125" s="5">
        <v>0</v>
      </c>
      <c r="Q125" s="5" t="s">
        <v>71</v>
      </c>
      <c r="R125" s="5">
        <v>2</v>
      </c>
      <c r="S125" s="5">
        <v>2</v>
      </c>
      <c r="T125" s="5">
        <v>0</v>
      </c>
      <c r="U125" s="5"/>
      <c r="V125" s="5"/>
      <c r="W125" s="5"/>
      <c r="X125" s="5"/>
      <c r="Y125" s="6" t="s">
        <v>689</v>
      </c>
      <c r="Z125" s="6" t="s">
        <v>690</v>
      </c>
      <c r="AA125" s="5">
        <f>IF(OR(D125="Monster", E125="Basic"), 0, ROUND((MIN(IFERROR(VLOOKUP(G125, Relic_Price_Config!$A$5:$E$9, 4, FALSE), 350), MAX(IFERROR(VLOOKUP(G125, Relic_Price_Config!$A$5:$E$9, 3, FALSE), 210), ROUND((IFERROR(VLOOKUP(H125, Relic_Price_Config!$G$5:$N$100, 4, FALSE), 280) + N(L125) * IF(N(O125)&gt;1, N(O125), 1) * IFERROR(VLOOKUP(H125, Relic_Price_Config!$G$5:$N$100, 5, FALSE), 10) + ABS(N(R125)) * IFERROR(VLOOKUP(H125, Relic_Price_Config!$G$5:$N$100, 6, FALSE), 15) + IF(N(S125)&gt;1, (N(S125)-1)*10, 0)) * IFERROR(VLOOKUP(G125, Relic_Price_Config!$A$5:$E$9, 2, FALSE), 1), 0))) * 0.1) / 5, 0) * 5)</f>
        <v>55</v>
      </c>
      <c r="AB125" s="5">
        <f t="shared" si="1"/>
        <v>40</v>
      </c>
    </row>
    <row r="126" spans="1:28" ht="17.25" customHeight="1">
      <c r="A126" s="2" t="s">
        <v>691</v>
      </c>
      <c r="B126" s="2" t="s">
        <v>692</v>
      </c>
      <c r="C126" s="3" t="s">
        <v>693</v>
      </c>
      <c r="D126" s="2" t="s">
        <v>76</v>
      </c>
      <c r="E126" s="2" t="s">
        <v>115</v>
      </c>
      <c r="F126" s="2" t="s">
        <v>33</v>
      </c>
      <c r="G126" s="2" t="s">
        <v>208</v>
      </c>
      <c r="H126" s="2" t="s">
        <v>35</v>
      </c>
      <c r="I126" s="2" t="s">
        <v>36</v>
      </c>
      <c r="J126" s="2">
        <v>0</v>
      </c>
      <c r="K126" s="2">
        <v>1</v>
      </c>
      <c r="L126" s="2">
        <v>5</v>
      </c>
      <c r="M126" s="2" t="s">
        <v>37</v>
      </c>
      <c r="N126" s="2">
        <v>1</v>
      </c>
      <c r="O126" s="2">
        <v>3</v>
      </c>
      <c r="P126" s="2">
        <v>0</v>
      </c>
      <c r="Q126" s="2"/>
      <c r="R126" s="2">
        <v>0</v>
      </c>
      <c r="S126" s="2">
        <v>0</v>
      </c>
      <c r="T126" s="2">
        <v>0</v>
      </c>
      <c r="U126" s="2"/>
      <c r="V126" s="2"/>
      <c r="W126" s="2"/>
      <c r="X126" s="2"/>
      <c r="Y126" s="3" t="s">
        <v>694</v>
      </c>
      <c r="Z126" s="3" t="s">
        <v>695</v>
      </c>
      <c r="AA126" s="2">
        <f>IF(OR(D126="Monster", E126="Basic"), 0, ROUND((MIN(IFERROR(VLOOKUP(G126, Relic_Price_Config!$A$5:$E$9, 4, FALSE), 350), MAX(IFERROR(VLOOKUP(G126, Relic_Price_Config!$A$5:$E$9, 3, FALSE), 210), ROUND((IFERROR(VLOOKUP(H126, Relic_Price_Config!$G$5:$N$100, 4, FALSE), 280) + N(L126) * IF(N(O126)&gt;1, N(O126), 1) * IFERROR(VLOOKUP(H126, Relic_Price_Config!$G$5:$N$100, 5, FALSE), 10) + ABS(N(R126)) * IFERROR(VLOOKUP(H126, Relic_Price_Config!$G$5:$N$100, 6, FALSE), 15) + IF(N(S126)&gt;1, (N(S126)-1)*10, 0)) * IFERROR(VLOOKUP(G126, Relic_Price_Config!$A$5:$E$9, 2, FALSE), 1), 0))) * 0.1) / 5, 0) * 5)</f>
        <v>50</v>
      </c>
      <c r="AB126" s="2">
        <f t="shared" si="1"/>
        <v>35</v>
      </c>
    </row>
    <row r="127" spans="1:28" ht="17.25" customHeight="1">
      <c r="A127" s="5" t="s">
        <v>696</v>
      </c>
      <c r="B127" s="5" t="s">
        <v>697</v>
      </c>
      <c r="C127" s="9" t="s">
        <v>698</v>
      </c>
      <c r="D127" s="5" t="s">
        <v>76</v>
      </c>
      <c r="E127" s="2" t="s">
        <v>115</v>
      </c>
      <c r="F127" s="5" t="s">
        <v>43</v>
      </c>
      <c r="G127" s="5" t="s">
        <v>208</v>
      </c>
      <c r="H127" s="5" t="s">
        <v>593</v>
      </c>
      <c r="I127" s="5" t="s">
        <v>504</v>
      </c>
      <c r="J127" s="5">
        <v>0</v>
      </c>
      <c r="K127" s="5">
        <v>1</v>
      </c>
      <c r="L127" s="5">
        <v>6</v>
      </c>
      <c r="M127" s="5" t="s">
        <v>46</v>
      </c>
      <c r="N127" s="5">
        <v>1</v>
      </c>
      <c r="O127" s="5">
        <v>1</v>
      </c>
      <c r="P127" s="5">
        <v>0</v>
      </c>
      <c r="Q127" s="5" t="s">
        <v>71</v>
      </c>
      <c r="R127" s="5">
        <v>1</v>
      </c>
      <c r="S127" s="5">
        <v>2</v>
      </c>
      <c r="T127" s="5">
        <v>0</v>
      </c>
      <c r="U127" s="5"/>
      <c r="V127" s="5"/>
      <c r="W127" s="5"/>
      <c r="X127" s="5"/>
      <c r="Y127" s="6" t="s">
        <v>699</v>
      </c>
      <c r="Z127" s="6" t="s">
        <v>695</v>
      </c>
      <c r="AA127" s="5">
        <f>IF(OR(D127="Monster", E127="Basic"), 0, ROUND((MIN(IFERROR(VLOOKUP(G127, Relic_Price_Config!$A$5:$E$9, 4, FALSE), 350), MAX(IFERROR(VLOOKUP(G127, Relic_Price_Config!$A$5:$E$9, 3, FALSE), 210), ROUND((IFERROR(VLOOKUP(H127, Relic_Price_Config!$G$5:$N$100, 4, FALSE), 280) + N(L127) * IF(N(O127)&gt;1, N(O127), 1) * IFERROR(VLOOKUP(H127, Relic_Price_Config!$G$5:$N$100, 5, FALSE), 10) + ABS(N(R127)) * IFERROR(VLOOKUP(H127, Relic_Price_Config!$G$5:$N$100, 6, FALSE), 15) + IF(N(S127)&gt;1, (N(S127)-1)*10, 0)) * IFERROR(VLOOKUP(G127, Relic_Price_Config!$A$5:$E$9, 2, FALSE), 1), 0))) * 0.1) / 5, 0) * 5)</f>
        <v>50</v>
      </c>
      <c r="AB127" s="5">
        <f t="shared" si="1"/>
        <v>35</v>
      </c>
    </row>
    <row r="128" spans="1:28" ht="17.25" customHeight="1">
      <c r="A128" s="2" t="s">
        <v>700</v>
      </c>
      <c r="B128" s="2" t="s">
        <v>701</v>
      </c>
      <c r="C128" s="3" t="s">
        <v>702</v>
      </c>
      <c r="D128" s="2" t="s">
        <v>76</v>
      </c>
      <c r="E128" s="2" t="s">
        <v>115</v>
      </c>
      <c r="F128" s="2" t="s">
        <v>43</v>
      </c>
      <c r="G128" s="2" t="s">
        <v>208</v>
      </c>
      <c r="H128" s="2" t="s">
        <v>228</v>
      </c>
      <c r="I128" s="2" t="s">
        <v>45</v>
      </c>
      <c r="J128" s="2">
        <v>0</v>
      </c>
      <c r="K128" s="2">
        <v>1</v>
      </c>
      <c r="L128" s="2">
        <v>14</v>
      </c>
      <c r="M128" s="2" t="s">
        <v>46</v>
      </c>
      <c r="N128" s="2">
        <v>1</v>
      </c>
      <c r="O128" s="2">
        <v>1</v>
      </c>
      <c r="P128" s="2">
        <v>0</v>
      </c>
      <c r="Q128" s="2" t="s">
        <v>229</v>
      </c>
      <c r="R128" s="2">
        <v>2</v>
      </c>
      <c r="S128" s="2">
        <v>2</v>
      </c>
      <c r="T128" s="2">
        <v>0</v>
      </c>
      <c r="U128" s="2"/>
      <c r="V128" s="2"/>
      <c r="W128" s="2"/>
      <c r="X128" s="2"/>
      <c r="Y128" s="3" t="s">
        <v>703</v>
      </c>
      <c r="Z128" s="3" t="s">
        <v>695</v>
      </c>
      <c r="AA128" s="2">
        <f>IF(OR(D128="Monster", E128="Basic"), 0, ROUND((MIN(IFERROR(VLOOKUP(G128, Relic_Price_Config!$A$5:$E$9, 4, FALSE), 350), MAX(IFERROR(VLOOKUP(G128, Relic_Price_Config!$A$5:$E$9, 3, FALSE), 210), ROUND((IFERROR(VLOOKUP(H128, Relic_Price_Config!$G$5:$N$100, 4, FALSE), 280) + N(L128) * IF(N(O128)&gt;1, N(O128), 1) * IFERROR(VLOOKUP(H128, Relic_Price_Config!$G$5:$N$100, 5, FALSE), 10) + ABS(N(R128)) * IFERROR(VLOOKUP(H128, Relic_Price_Config!$G$5:$N$100, 6, FALSE), 15) + IF(N(S128)&gt;1, (N(S128)-1)*10, 0)) * IFERROR(VLOOKUP(G128, Relic_Price_Config!$A$5:$E$9, 2, FALSE), 1), 0))) * 0.1) / 5, 0) * 5)</f>
        <v>55</v>
      </c>
      <c r="AB128" s="2">
        <f t="shared" si="1"/>
        <v>40</v>
      </c>
    </row>
    <row r="129" spans="1:28" ht="17.25" customHeight="1">
      <c r="A129" s="5" t="s">
        <v>704</v>
      </c>
      <c r="B129" s="5" t="s">
        <v>705</v>
      </c>
      <c r="C129" s="9" t="s">
        <v>706</v>
      </c>
      <c r="D129" s="5" t="s">
        <v>76</v>
      </c>
      <c r="E129" s="2" t="s">
        <v>115</v>
      </c>
      <c r="F129" s="5" t="s">
        <v>33</v>
      </c>
      <c r="G129" s="5" t="s">
        <v>208</v>
      </c>
      <c r="H129" s="5" t="s">
        <v>93</v>
      </c>
      <c r="I129" s="5" t="s">
        <v>36</v>
      </c>
      <c r="J129" s="5">
        <v>0</v>
      </c>
      <c r="K129" s="5">
        <v>1</v>
      </c>
      <c r="L129" s="5">
        <v>13</v>
      </c>
      <c r="M129" s="5" t="s">
        <v>37</v>
      </c>
      <c r="N129" s="5">
        <v>1</v>
      </c>
      <c r="O129" s="5">
        <v>1</v>
      </c>
      <c r="P129" s="5">
        <v>0</v>
      </c>
      <c r="Q129" s="5" t="s">
        <v>94</v>
      </c>
      <c r="R129" s="5">
        <v>1</v>
      </c>
      <c r="S129" s="5">
        <v>2</v>
      </c>
      <c r="T129" s="5">
        <v>0</v>
      </c>
      <c r="U129" s="5"/>
      <c r="V129" s="5"/>
      <c r="W129" s="5"/>
      <c r="X129" s="5"/>
      <c r="Y129" s="6" t="s">
        <v>707</v>
      </c>
      <c r="Z129" s="6" t="s">
        <v>695</v>
      </c>
      <c r="AA129" s="5">
        <f>IF(OR(D129="Monster", E129="Basic"), 0, ROUND((MIN(IFERROR(VLOOKUP(G129, Relic_Price_Config!$A$5:$E$9, 4, FALSE), 350), MAX(IFERROR(VLOOKUP(G129, Relic_Price_Config!$A$5:$E$9, 3, FALSE), 210), ROUND((IFERROR(VLOOKUP(H129, Relic_Price_Config!$G$5:$N$100, 4, FALSE), 280) + N(L129) * IF(N(O129)&gt;1, N(O129), 1) * IFERROR(VLOOKUP(H129, Relic_Price_Config!$G$5:$N$100, 5, FALSE), 10) + ABS(N(R129)) * IFERROR(VLOOKUP(H129, Relic_Price_Config!$G$5:$N$100, 6, FALSE), 15) + IF(N(S129)&gt;1, (N(S129)-1)*10, 0)) * IFERROR(VLOOKUP(G129, Relic_Price_Config!$A$5:$E$9, 2, FALSE), 1), 0))) * 0.1) / 5, 0) * 5)</f>
        <v>55</v>
      </c>
      <c r="AB129" s="5">
        <f t="shared" si="1"/>
        <v>40</v>
      </c>
    </row>
    <row r="130" spans="1:28" ht="17.25" customHeight="1">
      <c r="A130" s="2" t="s">
        <v>708</v>
      </c>
      <c r="B130" s="2" t="s">
        <v>709</v>
      </c>
      <c r="C130" s="3" t="s">
        <v>710</v>
      </c>
      <c r="D130" s="2" t="s">
        <v>76</v>
      </c>
      <c r="E130" s="2" t="s">
        <v>115</v>
      </c>
      <c r="F130" s="2" t="s">
        <v>43</v>
      </c>
      <c r="G130" s="2" t="s">
        <v>208</v>
      </c>
      <c r="H130" s="2" t="s">
        <v>638</v>
      </c>
      <c r="I130" s="2" t="s">
        <v>504</v>
      </c>
      <c r="J130" s="2">
        <v>0</v>
      </c>
      <c r="K130" s="2">
        <v>1</v>
      </c>
      <c r="L130" s="2">
        <v>9</v>
      </c>
      <c r="M130" s="2" t="s">
        <v>46</v>
      </c>
      <c r="N130" s="2">
        <v>1</v>
      </c>
      <c r="O130" s="2">
        <v>1</v>
      </c>
      <c r="P130" s="2">
        <v>0</v>
      </c>
      <c r="Q130" s="2"/>
      <c r="R130" s="2">
        <v>0</v>
      </c>
      <c r="S130" s="2">
        <v>0</v>
      </c>
      <c r="T130" s="2">
        <v>0</v>
      </c>
      <c r="U130" s="2"/>
      <c r="V130" s="2"/>
      <c r="W130" s="2"/>
      <c r="X130" s="2"/>
      <c r="Y130" s="3" t="s">
        <v>711</v>
      </c>
      <c r="Z130" s="3" t="s">
        <v>695</v>
      </c>
      <c r="AA130" s="2">
        <f>IF(OR(D130="Monster", E130="Basic"), 0, ROUND((MIN(IFERROR(VLOOKUP(G130, Relic_Price_Config!$A$5:$E$9, 4, FALSE), 350), MAX(IFERROR(VLOOKUP(G130, Relic_Price_Config!$A$5:$E$9, 3, FALSE), 210), ROUND((IFERROR(VLOOKUP(H130, Relic_Price_Config!$G$5:$N$100, 4, FALSE), 280) + N(L130) * IF(N(O130)&gt;1, N(O130), 1) * IFERROR(VLOOKUP(H130, Relic_Price_Config!$G$5:$N$100, 5, FALSE), 10) + ABS(N(R130)) * IFERROR(VLOOKUP(H130, Relic_Price_Config!$G$5:$N$100, 6, FALSE), 15) + IF(N(S130)&gt;1, (N(S130)-1)*10, 0)) * IFERROR(VLOOKUP(G130, Relic_Price_Config!$A$5:$E$9, 2, FALSE), 1), 0))) * 0.1) / 5, 0) * 5)</f>
        <v>55</v>
      </c>
      <c r="AB130" s="2">
        <f t="shared" ref="AB130:AB193" si="2">IF(AA130&lt;=0, 0, ROUND((AA130*0.7)/5, 0)*5)</f>
        <v>40</v>
      </c>
    </row>
    <row r="131" spans="1:28" ht="17.25" customHeight="1">
      <c r="A131" s="5" t="s">
        <v>712</v>
      </c>
      <c r="B131" s="5" t="s">
        <v>713</v>
      </c>
      <c r="C131" s="9" t="s">
        <v>714</v>
      </c>
      <c r="D131" s="5" t="s">
        <v>76</v>
      </c>
      <c r="E131" s="2" t="s">
        <v>115</v>
      </c>
      <c r="F131" s="5" t="s">
        <v>33</v>
      </c>
      <c r="G131" s="5" t="s">
        <v>208</v>
      </c>
      <c r="H131" s="5" t="s">
        <v>534</v>
      </c>
      <c r="I131" s="5" t="s">
        <v>36</v>
      </c>
      <c r="J131" s="5">
        <v>0</v>
      </c>
      <c r="K131" s="5">
        <v>1</v>
      </c>
      <c r="L131" s="5">
        <v>18</v>
      </c>
      <c r="M131" s="5" t="s">
        <v>37</v>
      </c>
      <c r="N131" s="5">
        <v>1</v>
      </c>
      <c r="O131" s="5">
        <v>1</v>
      </c>
      <c r="P131" s="5">
        <v>0</v>
      </c>
      <c r="Q131" s="5" t="s">
        <v>19</v>
      </c>
      <c r="R131" s="5">
        <v>4</v>
      </c>
      <c r="S131" s="5">
        <v>0</v>
      </c>
      <c r="T131" s="5">
        <v>4</v>
      </c>
      <c r="U131" s="5"/>
      <c r="V131" s="5"/>
      <c r="W131" s="5"/>
      <c r="X131" s="5"/>
      <c r="Y131" s="6" t="s">
        <v>715</v>
      </c>
      <c r="Z131" s="6" t="s">
        <v>716</v>
      </c>
      <c r="AA131" s="5">
        <f>IF(OR(D131="Monster", E131="Basic"), 0, ROUND((MIN(IFERROR(VLOOKUP(G131, Relic_Price_Config!$A$5:$E$9, 4, FALSE), 350), MAX(IFERROR(VLOOKUP(G131, Relic_Price_Config!$A$5:$E$9, 3, FALSE), 210), ROUND((IFERROR(VLOOKUP(H131, Relic_Price_Config!$G$5:$N$100, 4, FALSE), 280) + N(L131) * IF(N(O131)&gt;1, N(O131), 1) * IFERROR(VLOOKUP(H131, Relic_Price_Config!$G$5:$N$100, 5, FALSE), 10) + ABS(N(R131)) * IFERROR(VLOOKUP(H131, Relic_Price_Config!$G$5:$N$100, 6, FALSE), 15) + IF(N(S131)&gt;1, (N(S131)-1)*10, 0)) * IFERROR(VLOOKUP(G131, Relic_Price_Config!$A$5:$E$9, 2, FALSE), 1), 0))) * 0.1) / 5, 0) * 5)</f>
        <v>55</v>
      </c>
      <c r="AB131" s="5">
        <f t="shared" si="2"/>
        <v>40</v>
      </c>
    </row>
    <row r="132" spans="1:28" ht="17.25" customHeight="1">
      <c r="A132" s="2" t="s">
        <v>717</v>
      </c>
      <c r="B132" s="2" t="s">
        <v>718</v>
      </c>
      <c r="C132" s="3" t="s">
        <v>719</v>
      </c>
      <c r="D132" s="2" t="s">
        <v>76</v>
      </c>
      <c r="E132" s="2" t="s">
        <v>115</v>
      </c>
      <c r="F132" s="2" t="s">
        <v>51</v>
      </c>
      <c r="G132" s="2" t="s">
        <v>208</v>
      </c>
      <c r="H132" s="2" t="s">
        <v>146</v>
      </c>
      <c r="I132" s="2" t="s">
        <v>45</v>
      </c>
      <c r="J132" s="2">
        <v>0</v>
      </c>
      <c r="K132" s="2">
        <v>1</v>
      </c>
      <c r="L132" s="2">
        <v>2</v>
      </c>
      <c r="M132" s="2"/>
      <c r="N132" s="2">
        <v>0</v>
      </c>
      <c r="O132" s="2">
        <v>1</v>
      </c>
      <c r="P132" s="2">
        <v>0</v>
      </c>
      <c r="Q132" s="2"/>
      <c r="R132" s="2">
        <v>0</v>
      </c>
      <c r="S132" s="2">
        <v>0</v>
      </c>
      <c r="T132" s="2">
        <v>0</v>
      </c>
      <c r="U132" s="2"/>
      <c r="V132" s="2"/>
      <c r="W132" s="2"/>
      <c r="X132" s="2"/>
      <c r="Y132" s="3" t="s">
        <v>720</v>
      </c>
      <c r="Z132" s="3" t="s">
        <v>695</v>
      </c>
      <c r="AA132" s="2">
        <f>IF(OR(D132="Monster", E132="Basic"), 0, ROUND((MIN(IFERROR(VLOOKUP(G132, Relic_Price_Config!$A$5:$E$9, 4, FALSE), 350), MAX(IFERROR(VLOOKUP(G132, Relic_Price_Config!$A$5:$E$9, 3, FALSE), 210), ROUND((IFERROR(VLOOKUP(H132, Relic_Price_Config!$G$5:$N$100, 4, FALSE), 280) + N(L132) * IF(N(O132)&gt;1, N(O132), 1) * IFERROR(VLOOKUP(H132, Relic_Price_Config!$G$5:$N$100, 5, FALSE), 10) + ABS(N(R132)) * IFERROR(VLOOKUP(H132, Relic_Price_Config!$G$5:$N$100, 6, FALSE), 15) + IF(N(S132)&gt;1, (N(S132)-1)*10, 0)) * IFERROR(VLOOKUP(G132, Relic_Price_Config!$A$5:$E$9, 2, FALSE), 1), 0))) * 0.1) / 5, 0) * 5)</f>
        <v>55</v>
      </c>
      <c r="AB132" s="2">
        <f t="shared" si="2"/>
        <v>40</v>
      </c>
    </row>
    <row r="133" spans="1:28" ht="17.25" customHeight="1">
      <c r="A133" s="5" t="s">
        <v>721</v>
      </c>
      <c r="B133" s="5" t="s">
        <v>722</v>
      </c>
      <c r="C133" s="9" t="s">
        <v>723</v>
      </c>
      <c r="D133" s="5" t="s">
        <v>76</v>
      </c>
      <c r="E133" s="2" t="s">
        <v>115</v>
      </c>
      <c r="F133" s="5" t="s">
        <v>33</v>
      </c>
      <c r="G133" s="5" t="s">
        <v>208</v>
      </c>
      <c r="H133" s="5" t="s">
        <v>309</v>
      </c>
      <c r="I133" s="5" t="s">
        <v>108</v>
      </c>
      <c r="J133" s="5">
        <v>0</v>
      </c>
      <c r="K133" s="5">
        <v>1</v>
      </c>
      <c r="L133" s="5">
        <v>10</v>
      </c>
      <c r="M133" s="5" t="s">
        <v>37</v>
      </c>
      <c r="N133" s="5">
        <v>1</v>
      </c>
      <c r="O133" s="5">
        <v>1</v>
      </c>
      <c r="P133" s="5">
        <v>0</v>
      </c>
      <c r="Q133" s="5" t="s">
        <v>130</v>
      </c>
      <c r="R133" s="5">
        <v>2</v>
      </c>
      <c r="S133" s="5">
        <v>1</v>
      </c>
      <c r="T133" s="5">
        <v>0</v>
      </c>
      <c r="U133" s="5"/>
      <c r="V133" s="5"/>
      <c r="W133" s="5"/>
      <c r="X133" s="5"/>
      <c r="Y133" s="6" t="s">
        <v>724</v>
      </c>
      <c r="Z133" s="6" t="s">
        <v>695</v>
      </c>
      <c r="AA133" s="5">
        <f>IF(OR(D133="Monster", E133="Basic"), 0, ROUND((MIN(IFERROR(VLOOKUP(G133, Relic_Price_Config!$A$5:$E$9, 4, FALSE), 350), MAX(IFERROR(VLOOKUP(G133, Relic_Price_Config!$A$5:$E$9, 3, FALSE), 210), ROUND((IFERROR(VLOOKUP(H133, Relic_Price_Config!$G$5:$N$100, 4, FALSE), 280) + N(L133) * IF(N(O133)&gt;1, N(O133), 1) * IFERROR(VLOOKUP(H133, Relic_Price_Config!$G$5:$N$100, 5, FALSE), 10) + ABS(N(R133)) * IFERROR(VLOOKUP(H133, Relic_Price_Config!$G$5:$N$100, 6, FALSE), 15) + IF(N(S133)&gt;1, (N(S133)-1)*10, 0)) * IFERROR(VLOOKUP(G133, Relic_Price_Config!$A$5:$E$9, 2, FALSE), 1), 0))) * 0.1) / 5, 0) * 5)</f>
        <v>55</v>
      </c>
      <c r="AB133" s="5">
        <f t="shared" si="2"/>
        <v>40</v>
      </c>
    </row>
    <row r="134" spans="1:28" ht="17.25" customHeight="1">
      <c r="A134" s="2" t="s">
        <v>725</v>
      </c>
      <c r="B134" s="2" t="s">
        <v>726</v>
      </c>
      <c r="C134" s="3" t="s">
        <v>727</v>
      </c>
      <c r="D134" s="2" t="s">
        <v>76</v>
      </c>
      <c r="E134" s="2" t="s">
        <v>115</v>
      </c>
      <c r="F134" s="2" t="s">
        <v>43</v>
      </c>
      <c r="G134" s="2" t="s">
        <v>208</v>
      </c>
      <c r="H134" s="2" t="s">
        <v>52</v>
      </c>
      <c r="I134" s="2" t="s">
        <v>45</v>
      </c>
      <c r="J134" s="2">
        <v>0</v>
      </c>
      <c r="K134" s="2">
        <v>1</v>
      </c>
      <c r="L134" s="2">
        <v>11</v>
      </c>
      <c r="M134" s="2" t="s">
        <v>46</v>
      </c>
      <c r="N134" s="2">
        <v>1</v>
      </c>
      <c r="O134" s="2">
        <v>1</v>
      </c>
      <c r="P134" s="2">
        <v>4</v>
      </c>
      <c r="Q134" s="2" t="s">
        <v>53</v>
      </c>
      <c r="R134" s="2">
        <v>1</v>
      </c>
      <c r="S134" s="2">
        <v>1</v>
      </c>
      <c r="T134" s="2">
        <v>0</v>
      </c>
      <c r="U134" s="2"/>
      <c r="V134" s="2"/>
      <c r="W134" s="2"/>
      <c r="X134" s="2"/>
      <c r="Y134" s="3" t="s">
        <v>728</v>
      </c>
      <c r="Z134" s="3" t="s">
        <v>729</v>
      </c>
      <c r="AA134" s="2">
        <f>IF(OR(D134="Monster", E134="Basic"), 0, ROUND((MIN(IFERROR(VLOOKUP(G134, Relic_Price_Config!$A$5:$E$9, 4, FALSE), 350), MAX(IFERROR(VLOOKUP(G134, Relic_Price_Config!$A$5:$E$9, 3, FALSE), 210), ROUND((IFERROR(VLOOKUP(H134, Relic_Price_Config!$G$5:$N$100, 4, FALSE), 280) + N(L134) * IF(N(O134)&gt;1, N(O134), 1) * IFERROR(VLOOKUP(H134, Relic_Price_Config!$G$5:$N$100, 5, FALSE), 10) + ABS(N(R134)) * IFERROR(VLOOKUP(H134, Relic_Price_Config!$G$5:$N$100, 6, FALSE), 15) + IF(N(S134)&gt;1, (N(S134)-1)*10, 0)) * IFERROR(VLOOKUP(G134, Relic_Price_Config!$A$5:$E$9, 2, FALSE), 1), 0))) * 0.1) / 5, 0) * 5)</f>
        <v>55</v>
      </c>
      <c r="AB134" s="2">
        <f t="shared" si="2"/>
        <v>40</v>
      </c>
    </row>
    <row r="135" spans="1:28" ht="17.25" customHeight="1">
      <c r="A135" s="5" t="s">
        <v>730</v>
      </c>
      <c r="B135" s="5" t="s">
        <v>731</v>
      </c>
      <c r="C135" s="9" t="s">
        <v>732</v>
      </c>
      <c r="D135" s="5" t="s">
        <v>76</v>
      </c>
      <c r="E135" s="2" t="s">
        <v>115</v>
      </c>
      <c r="F135" s="5" t="s">
        <v>33</v>
      </c>
      <c r="G135" s="5" t="s">
        <v>208</v>
      </c>
      <c r="H135" s="5" t="s">
        <v>140</v>
      </c>
      <c r="I135" s="5" t="s">
        <v>36</v>
      </c>
      <c r="J135" s="5">
        <v>0</v>
      </c>
      <c r="K135" s="5">
        <v>1</v>
      </c>
      <c r="L135" s="5">
        <v>11</v>
      </c>
      <c r="M135" s="5" t="s">
        <v>37</v>
      </c>
      <c r="N135" s="5">
        <v>1</v>
      </c>
      <c r="O135" s="5">
        <v>1</v>
      </c>
      <c r="P135" s="5">
        <v>7</v>
      </c>
      <c r="Q135" s="5"/>
      <c r="R135" s="5">
        <v>0</v>
      </c>
      <c r="S135" s="5">
        <v>0</v>
      </c>
      <c r="T135" s="5">
        <v>0</v>
      </c>
      <c r="U135" s="5"/>
      <c r="V135" s="5"/>
      <c r="W135" s="5"/>
      <c r="X135" s="5"/>
      <c r="Y135" s="6" t="s">
        <v>733</v>
      </c>
      <c r="Z135" s="6" t="s">
        <v>734</v>
      </c>
      <c r="AA135" s="5">
        <f>IF(OR(D135="Monster", E135="Basic"), 0, ROUND((MIN(IFERROR(VLOOKUP(G135, Relic_Price_Config!$A$5:$E$9, 4, FALSE), 350), MAX(IFERROR(VLOOKUP(G135, Relic_Price_Config!$A$5:$E$9, 3, FALSE), 210), ROUND((IFERROR(VLOOKUP(H135, Relic_Price_Config!$G$5:$N$100, 4, FALSE), 280) + N(L135) * IF(N(O135)&gt;1, N(O135), 1) * IFERROR(VLOOKUP(H135, Relic_Price_Config!$G$5:$N$100, 5, FALSE), 10) + ABS(N(R135)) * IFERROR(VLOOKUP(H135, Relic_Price_Config!$G$5:$N$100, 6, FALSE), 15) + IF(N(S135)&gt;1, (N(S135)-1)*10, 0)) * IFERROR(VLOOKUP(G135, Relic_Price_Config!$A$5:$E$9, 2, FALSE), 1), 0))) * 0.1) / 5, 0) * 5)</f>
        <v>50</v>
      </c>
      <c r="AB135" s="5">
        <f t="shared" si="2"/>
        <v>35</v>
      </c>
    </row>
    <row r="136" spans="1:28" ht="17.25" customHeight="1">
      <c r="A136" s="2" t="s">
        <v>735</v>
      </c>
      <c r="B136" s="2" t="s">
        <v>736</v>
      </c>
      <c r="C136" s="3" t="s">
        <v>737</v>
      </c>
      <c r="D136" s="2" t="s">
        <v>76</v>
      </c>
      <c r="E136" s="2" t="s">
        <v>115</v>
      </c>
      <c r="F136" s="2" t="s">
        <v>33</v>
      </c>
      <c r="G136" s="2" t="s">
        <v>208</v>
      </c>
      <c r="H136" s="2" t="s">
        <v>152</v>
      </c>
      <c r="I136" s="2" t="s">
        <v>36</v>
      </c>
      <c r="J136" s="2">
        <v>0</v>
      </c>
      <c r="K136" s="2">
        <v>1</v>
      </c>
      <c r="L136" s="2">
        <v>10</v>
      </c>
      <c r="M136" s="2" t="s">
        <v>37</v>
      </c>
      <c r="N136" s="2">
        <v>1</v>
      </c>
      <c r="O136" s="2">
        <v>1</v>
      </c>
      <c r="P136" s="2">
        <v>6</v>
      </c>
      <c r="Q136" s="2"/>
      <c r="R136" s="2">
        <v>0</v>
      </c>
      <c r="S136" s="2">
        <v>0</v>
      </c>
      <c r="T136" s="2">
        <v>0</v>
      </c>
      <c r="U136" s="2"/>
      <c r="V136" s="2"/>
      <c r="W136" s="2"/>
      <c r="X136" s="2"/>
      <c r="Y136" s="3" t="s">
        <v>738</v>
      </c>
      <c r="Z136" s="3" t="s">
        <v>739</v>
      </c>
      <c r="AA136" s="2">
        <f>IF(OR(D136="Monster", E136="Basic"), 0, ROUND((MIN(IFERROR(VLOOKUP(G136, Relic_Price_Config!$A$5:$E$9, 4, FALSE), 350), MAX(IFERROR(VLOOKUP(G136, Relic_Price_Config!$A$5:$E$9, 3, FALSE), 210), ROUND((IFERROR(VLOOKUP(H136, Relic_Price_Config!$G$5:$N$100, 4, FALSE), 280) + N(L136) * IF(N(O136)&gt;1, N(O136), 1) * IFERROR(VLOOKUP(H136, Relic_Price_Config!$G$5:$N$100, 5, FALSE), 10) + ABS(N(R136)) * IFERROR(VLOOKUP(H136, Relic_Price_Config!$G$5:$N$100, 6, FALSE), 15) + IF(N(S136)&gt;1, (N(S136)-1)*10, 0)) * IFERROR(VLOOKUP(G136, Relic_Price_Config!$A$5:$E$9, 2, FALSE), 1), 0))) * 0.1) / 5, 0) * 5)</f>
        <v>50</v>
      </c>
      <c r="AB136" s="2">
        <f t="shared" si="2"/>
        <v>35</v>
      </c>
    </row>
    <row r="137" spans="1:28" ht="17.25" customHeight="1">
      <c r="A137" s="5" t="s">
        <v>740</v>
      </c>
      <c r="B137" s="5" t="s">
        <v>741</v>
      </c>
      <c r="C137" s="9" t="s">
        <v>742</v>
      </c>
      <c r="D137" s="5" t="s">
        <v>76</v>
      </c>
      <c r="E137" s="2" t="s">
        <v>115</v>
      </c>
      <c r="F137" s="5" t="s">
        <v>51</v>
      </c>
      <c r="G137" s="5" t="s">
        <v>208</v>
      </c>
      <c r="H137" s="5" t="s">
        <v>672</v>
      </c>
      <c r="I137" s="5" t="s">
        <v>504</v>
      </c>
      <c r="J137" s="5">
        <v>0</v>
      </c>
      <c r="K137" s="5">
        <v>1</v>
      </c>
      <c r="L137" s="5">
        <v>0</v>
      </c>
      <c r="M137" s="5"/>
      <c r="N137" s="5">
        <v>0</v>
      </c>
      <c r="O137" s="5">
        <v>1</v>
      </c>
      <c r="P137" s="5">
        <v>0</v>
      </c>
      <c r="Q137" s="5" t="s">
        <v>229</v>
      </c>
      <c r="R137" s="5">
        <v>2</v>
      </c>
      <c r="S137" s="5">
        <v>2</v>
      </c>
      <c r="T137" s="5">
        <v>0</v>
      </c>
      <c r="U137" s="5"/>
      <c r="V137" s="5"/>
      <c r="W137" s="5"/>
      <c r="X137" s="5"/>
      <c r="Y137" s="6" t="s">
        <v>743</v>
      </c>
      <c r="Z137" s="6" t="s">
        <v>744</v>
      </c>
      <c r="AA137" s="5">
        <f>IF(OR(D137="Monster", E137="Basic"), 0, ROUND((MIN(IFERROR(VLOOKUP(G137, Relic_Price_Config!$A$5:$E$9, 4, FALSE), 350), MAX(IFERROR(VLOOKUP(G137, Relic_Price_Config!$A$5:$E$9, 3, FALSE), 210), ROUND((IFERROR(VLOOKUP(H137, Relic_Price_Config!$G$5:$N$100, 4, FALSE), 280) + N(L137) * IF(N(O137)&gt;1, N(O137), 1) * IFERROR(VLOOKUP(H137, Relic_Price_Config!$G$5:$N$100, 5, FALSE), 10) + ABS(N(R137)) * IFERROR(VLOOKUP(H137, Relic_Price_Config!$G$5:$N$100, 6, FALSE), 15) + IF(N(S137)&gt;1, (N(S137)-1)*10, 0)) * IFERROR(VLOOKUP(G137, Relic_Price_Config!$A$5:$E$9, 2, FALSE), 1), 0))) * 0.1) / 5, 0) * 5)</f>
        <v>55</v>
      </c>
      <c r="AB137" s="5">
        <f t="shared" si="2"/>
        <v>40</v>
      </c>
    </row>
    <row r="138" spans="1:28" ht="17.25" customHeight="1">
      <c r="A138" s="2" t="s">
        <v>745</v>
      </c>
      <c r="B138" s="2" t="s">
        <v>746</v>
      </c>
      <c r="C138" s="3" t="s">
        <v>747</v>
      </c>
      <c r="D138" s="2" t="s">
        <v>76</v>
      </c>
      <c r="E138" s="2" t="s">
        <v>115</v>
      </c>
      <c r="F138" s="2" t="s">
        <v>33</v>
      </c>
      <c r="G138" s="2" t="s">
        <v>208</v>
      </c>
      <c r="H138" s="2" t="s">
        <v>474</v>
      </c>
      <c r="I138" s="2" t="s">
        <v>108</v>
      </c>
      <c r="J138" s="2">
        <v>0</v>
      </c>
      <c r="K138" s="2">
        <v>1</v>
      </c>
      <c r="L138" s="2">
        <v>9</v>
      </c>
      <c r="M138" s="2" t="s">
        <v>37</v>
      </c>
      <c r="N138" s="2">
        <v>1</v>
      </c>
      <c r="O138" s="2">
        <v>1</v>
      </c>
      <c r="P138" s="2">
        <v>7</v>
      </c>
      <c r="Q138" s="2"/>
      <c r="R138" s="2">
        <v>0</v>
      </c>
      <c r="S138" s="2">
        <v>0</v>
      </c>
      <c r="T138" s="2">
        <v>0</v>
      </c>
      <c r="U138" s="2"/>
      <c r="V138" s="2"/>
      <c r="W138" s="2"/>
      <c r="X138" s="2"/>
      <c r="Y138" s="3" t="s">
        <v>748</v>
      </c>
      <c r="Z138" s="3" t="s">
        <v>749</v>
      </c>
      <c r="AA138" s="2">
        <f>IF(OR(D138="Monster", E138="Basic"), 0, ROUND((MIN(IFERROR(VLOOKUP(G138, Relic_Price_Config!$A$5:$E$9, 4, FALSE), 350), MAX(IFERROR(VLOOKUP(G138, Relic_Price_Config!$A$5:$E$9, 3, FALSE), 210), ROUND((IFERROR(VLOOKUP(H138, Relic_Price_Config!$G$5:$N$100, 4, FALSE), 280) + N(L138) * IF(N(O138)&gt;1, N(O138), 1) * IFERROR(VLOOKUP(H138, Relic_Price_Config!$G$5:$N$100, 5, FALSE), 10) + ABS(N(R138)) * IFERROR(VLOOKUP(H138, Relic_Price_Config!$G$5:$N$100, 6, FALSE), 15) + IF(N(S138)&gt;1, (N(S138)-1)*10, 0)) * IFERROR(VLOOKUP(G138, Relic_Price_Config!$A$5:$E$9, 2, FALSE), 1), 0))) * 0.1) / 5, 0) * 5)</f>
        <v>50</v>
      </c>
      <c r="AB138" s="2">
        <f t="shared" si="2"/>
        <v>35</v>
      </c>
    </row>
    <row r="139" spans="1:28" ht="17.25" customHeight="1">
      <c r="A139" s="5" t="s">
        <v>750</v>
      </c>
      <c r="B139" s="5" t="s">
        <v>751</v>
      </c>
      <c r="C139" s="9" t="s">
        <v>752</v>
      </c>
      <c r="D139" s="5" t="s">
        <v>76</v>
      </c>
      <c r="E139" s="2" t="s">
        <v>115</v>
      </c>
      <c r="F139" s="5" t="s">
        <v>33</v>
      </c>
      <c r="G139" s="5" t="s">
        <v>208</v>
      </c>
      <c r="H139" s="5" t="s">
        <v>362</v>
      </c>
      <c r="I139" s="5" t="s">
        <v>108</v>
      </c>
      <c r="J139" s="5">
        <v>0</v>
      </c>
      <c r="K139" s="5">
        <v>1</v>
      </c>
      <c r="L139" s="5">
        <v>9</v>
      </c>
      <c r="M139" s="5" t="s">
        <v>37</v>
      </c>
      <c r="N139" s="5">
        <v>1</v>
      </c>
      <c r="O139" s="5">
        <v>1</v>
      </c>
      <c r="P139" s="5">
        <v>0</v>
      </c>
      <c r="Q139" s="5" t="s">
        <v>180</v>
      </c>
      <c r="R139" s="5">
        <v>3</v>
      </c>
      <c r="S139" s="5">
        <v>2</v>
      </c>
      <c r="T139" s="5">
        <v>0</v>
      </c>
      <c r="U139" s="5"/>
      <c r="V139" s="5"/>
      <c r="W139" s="5"/>
      <c r="X139" s="5"/>
      <c r="Y139" s="6" t="s">
        <v>753</v>
      </c>
      <c r="Z139" s="6" t="s">
        <v>754</v>
      </c>
      <c r="AA139" s="5">
        <f>IF(OR(D139="Monster", E139="Basic"), 0, ROUND((MIN(IFERROR(VLOOKUP(G139, Relic_Price_Config!$A$5:$E$9, 4, FALSE), 350), MAX(IFERROR(VLOOKUP(G139, Relic_Price_Config!$A$5:$E$9, 3, FALSE), 210), ROUND((IFERROR(VLOOKUP(H139, Relic_Price_Config!$G$5:$N$100, 4, FALSE), 280) + N(L139) * IF(N(O139)&gt;1, N(O139), 1) * IFERROR(VLOOKUP(H139, Relic_Price_Config!$G$5:$N$100, 5, FALSE), 10) + ABS(N(R139)) * IFERROR(VLOOKUP(H139, Relic_Price_Config!$G$5:$N$100, 6, FALSE), 15) + IF(N(S139)&gt;1, (N(S139)-1)*10, 0)) * IFERROR(VLOOKUP(G139, Relic_Price_Config!$A$5:$E$9, 2, FALSE), 1), 0))) * 0.1) / 5, 0) * 5)</f>
        <v>55</v>
      </c>
      <c r="AB139" s="5">
        <f t="shared" si="2"/>
        <v>40</v>
      </c>
    </row>
    <row r="140" spans="1:28" ht="17.25" customHeight="1">
      <c r="A140" s="2" t="s">
        <v>755</v>
      </c>
      <c r="B140" s="2" t="s">
        <v>756</v>
      </c>
      <c r="C140" s="3" t="s">
        <v>757</v>
      </c>
      <c r="D140" s="2" t="s">
        <v>76</v>
      </c>
      <c r="E140" s="2" t="s">
        <v>115</v>
      </c>
      <c r="F140" s="2" t="s">
        <v>51</v>
      </c>
      <c r="G140" s="2" t="s">
        <v>295</v>
      </c>
      <c r="H140" s="2" t="s">
        <v>613</v>
      </c>
      <c r="I140" s="2" t="s">
        <v>504</v>
      </c>
      <c r="J140" s="2">
        <v>0</v>
      </c>
      <c r="K140" s="2">
        <v>1</v>
      </c>
      <c r="L140" s="2">
        <v>0</v>
      </c>
      <c r="M140" s="2"/>
      <c r="N140" s="2">
        <v>0</v>
      </c>
      <c r="O140" s="2">
        <v>1</v>
      </c>
      <c r="P140" s="2">
        <v>0</v>
      </c>
      <c r="Q140" s="2" t="s">
        <v>71</v>
      </c>
      <c r="R140" s="2">
        <v>3</v>
      </c>
      <c r="S140" s="2">
        <v>-1</v>
      </c>
      <c r="T140" s="2">
        <v>0</v>
      </c>
      <c r="U140" s="2"/>
      <c r="V140" s="2"/>
      <c r="W140" s="2"/>
      <c r="X140" s="2"/>
      <c r="Y140" s="3" t="s">
        <v>758</v>
      </c>
      <c r="Z140" s="3" t="s">
        <v>759</v>
      </c>
      <c r="AA140" s="2">
        <f>IF(OR(D140="Monster", E140="Basic"), 0, ROUND((MIN(IFERROR(VLOOKUP(G140, Relic_Price_Config!$A$5:$E$9, 4, FALSE), 350), MAX(IFERROR(VLOOKUP(G140, Relic_Price_Config!$A$5:$E$9, 3, FALSE), 210), ROUND((IFERROR(VLOOKUP(H140, Relic_Price_Config!$G$5:$N$100, 4, FALSE), 280) + N(L140) * IF(N(O140)&gt;1, N(O140), 1) * IFERROR(VLOOKUP(H140, Relic_Price_Config!$G$5:$N$100, 5, FALSE), 10) + ABS(N(R140)) * IFERROR(VLOOKUP(H140, Relic_Price_Config!$G$5:$N$100, 6, FALSE), 15) + IF(N(S140)&gt;1, (N(S140)-1)*10, 0)) * IFERROR(VLOOKUP(G140, Relic_Price_Config!$A$5:$E$9, 2, FALSE), 1), 0))) * 0.1) / 5, 0) * 5)</f>
        <v>70</v>
      </c>
      <c r="AB140" s="2">
        <f t="shared" si="2"/>
        <v>50</v>
      </c>
    </row>
    <row r="141" spans="1:28" ht="17.25" customHeight="1">
      <c r="A141" s="5" t="s">
        <v>760</v>
      </c>
      <c r="B141" s="5" t="s">
        <v>761</v>
      </c>
      <c r="C141" s="9" t="s">
        <v>762</v>
      </c>
      <c r="D141" s="5" t="s">
        <v>76</v>
      </c>
      <c r="E141" s="2" t="s">
        <v>115</v>
      </c>
      <c r="F141" s="5" t="s">
        <v>33</v>
      </c>
      <c r="G141" s="5" t="s">
        <v>295</v>
      </c>
      <c r="H141" s="5" t="s">
        <v>35</v>
      </c>
      <c r="I141" s="5" t="s">
        <v>36</v>
      </c>
      <c r="J141" s="5">
        <v>0</v>
      </c>
      <c r="K141" s="5">
        <v>1</v>
      </c>
      <c r="L141" s="5">
        <v>6</v>
      </c>
      <c r="M141" s="5" t="s">
        <v>37</v>
      </c>
      <c r="N141" s="5">
        <v>1</v>
      </c>
      <c r="O141" s="5">
        <v>3</v>
      </c>
      <c r="P141" s="5">
        <v>0</v>
      </c>
      <c r="Q141" s="5"/>
      <c r="R141" s="5">
        <v>0</v>
      </c>
      <c r="S141" s="5">
        <v>0</v>
      </c>
      <c r="T141" s="5">
        <v>0</v>
      </c>
      <c r="U141" s="5"/>
      <c r="V141" s="5"/>
      <c r="W141" s="5"/>
      <c r="X141" s="5"/>
      <c r="Y141" s="6" t="s">
        <v>763</v>
      </c>
      <c r="Z141" s="6" t="s">
        <v>764</v>
      </c>
      <c r="AA141" s="5">
        <f>IF(OR(D141="Monster", E141="Basic"), 0, ROUND((MIN(IFERROR(VLOOKUP(G141, Relic_Price_Config!$A$5:$E$9, 4, FALSE), 350), MAX(IFERROR(VLOOKUP(G141, Relic_Price_Config!$A$5:$E$9, 3, FALSE), 210), ROUND((IFERROR(VLOOKUP(H141, Relic_Price_Config!$G$5:$N$100, 4, FALSE), 280) + N(L141) * IF(N(O141)&gt;1, N(O141), 1) * IFERROR(VLOOKUP(H141, Relic_Price_Config!$G$5:$N$100, 5, FALSE), 10) + ABS(N(R141)) * IFERROR(VLOOKUP(H141, Relic_Price_Config!$G$5:$N$100, 6, FALSE), 15) + IF(N(S141)&gt;1, (N(S141)-1)*10, 0)) * IFERROR(VLOOKUP(G141, Relic_Price_Config!$A$5:$E$9, 2, FALSE), 1), 0))) * 0.1) / 5, 0) * 5)</f>
        <v>70</v>
      </c>
      <c r="AB141" s="5">
        <f t="shared" si="2"/>
        <v>50</v>
      </c>
    </row>
    <row r="142" spans="1:28" ht="24" customHeight="1">
      <c r="A142" s="2" t="s">
        <v>765</v>
      </c>
      <c r="B142" s="2" t="s">
        <v>766</v>
      </c>
      <c r="C142" s="3" t="s">
        <v>767</v>
      </c>
      <c r="D142" s="2" t="s">
        <v>76</v>
      </c>
      <c r="E142" s="2" t="s">
        <v>115</v>
      </c>
      <c r="F142" s="2" t="s">
        <v>43</v>
      </c>
      <c r="G142" s="2" t="s">
        <v>295</v>
      </c>
      <c r="H142" s="2" t="s">
        <v>593</v>
      </c>
      <c r="I142" s="2" t="s">
        <v>504</v>
      </c>
      <c r="J142" s="2">
        <v>0</v>
      </c>
      <c r="K142" s="2">
        <v>1</v>
      </c>
      <c r="L142" s="2">
        <v>10</v>
      </c>
      <c r="M142" s="2" t="s">
        <v>46</v>
      </c>
      <c r="N142" s="2">
        <v>1</v>
      </c>
      <c r="O142" s="2">
        <v>1</v>
      </c>
      <c r="P142" s="2">
        <v>0</v>
      </c>
      <c r="Q142" s="2" t="s">
        <v>71</v>
      </c>
      <c r="R142" s="2">
        <v>2</v>
      </c>
      <c r="S142" s="2">
        <v>2</v>
      </c>
      <c r="T142" s="2">
        <v>0</v>
      </c>
      <c r="U142" s="2"/>
      <c r="V142" s="2"/>
      <c r="W142" s="2"/>
      <c r="X142" s="2"/>
      <c r="Y142" s="3" t="s">
        <v>768</v>
      </c>
      <c r="Z142" s="3" t="s">
        <v>764</v>
      </c>
      <c r="AA142" s="2">
        <f>IF(OR(D142="Monster", E142="Basic"), 0, ROUND((MIN(IFERROR(VLOOKUP(G142, Relic_Price_Config!$A$5:$E$9, 4, FALSE), 350), MAX(IFERROR(VLOOKUP(G142, Relic_Price_Config!$A$5:$E$9, 3, FALSE), 210), ROUND((IFERROR(VLOOKUP(H142, Relic_Price_Config!$G$5:$N$100, 4, FALSE), 280) + N(L142) * IF(N(O142)&gt;1, N(O142), 1) * IFERROR(VLOOKUP(H142, Relic_Price_Config!$G$5:$N$100, 5, FALSE), 10) + ABS(N(R142)) * IFERROR(VLOOKUP(H142, Relic_Price_Config!$G$5:$N$100, 6, FALSE), 15) + IF(N(S142)&gt;1, (N(S142)-1)*10, 0)) * IFERROR(VLOOKUP(G142, Relic_Price_Config!$A$5:$E$9, 2, FALSE), 1), 0))) * 0.1) / 5, 0) * 5)</f>
        <v>70</v>
      </c>
      <c r="AB142" s="2">
        <f t="shared" si="2"/>
        <v>50</v>
      </c>
    </row>
    <row r="143" spans="1:28" ht="24" customHeight="1">
      <c r="A143" s="5" t="s">
        <v>769</v>
      </c>
      <c r="B143" s="5" t="s">
        <v>770</v>
      </c>
      <c r="C143" s="9" t="s">
        <v>771</v>
      </c>
      <c r="D143" s="5" t="s">
        <v>76</v>
      </c>
      <c r="E143" s="2" t="s">
        <v>115</v>
      </c>
      <c r="F143" s="5" t="s">
        <v>43</v>
      </c>
      <c r="G143" s="5" t="s">
        <v>295</v>
      </c>
      <c r="H143" s="5" t="s">
        <v>315</v>
      </c>
      <c r="I143" s="5" t="s">
        <v>45</v>
      </c>
      <c r="J143" s="5">
        <v>0</v>
      </c>
      <c r="K143" s="5">
        <v>1</v>
      </c>
      <c r="L143" s="5">
        <v>20</v>
      </c>
      <c r="M143" s="5" t="s">
        <v>46</v>
      </c>
      <c r="N143" s="5">
        <v>1</v>
      </c>
      <c r="O143" s="5">
        <v>1</v>
      </c>
      <c r="P143" s="5">
        <v>0</v>
      </c>
      <c r="Q143" s="5" t="s">
        <v>316</v>
      </c>
      <c r="R143" s="5">
        <v>3</v>
      </c>
      <c r="S143" s="5">
        <v>2</v>
      </c>
      <c r="T143" s="5">
        <v>0</v>
      </c>
      <c r="U143" s="5"/>
      <c r="V143" s="5"/>
      <c r="W143" s="5"/>
      <c r="X143" s="5"/>
      <c r="Y143" s="6" t="s">
        <v>772</v>
      </c>
      <c r="Z143" s="6" t="s">
        <v>764</v>
      </c>
      <c r="AA143" s="5">
        <f>IF(OR(D143="Monster", E143="Basic"), 0, ROUND((MIN(IFERROR(VLOOKUP(G143, Relic_Price_Config!$A$5:$E$9, 4, FALSE), 350), MAX(IFERROR(VLOOKUP(G143, Relic_Price_Config!$A$5:$E$9, 3, FALSE), 210), ROUND((IFERROR(VLOOKUP(H143, Relic_Price_Config!$G$5:$N$100, 4, FALSE), 280) + N(L143) * IF(N(O143)&gt;1, N(O143), 1) * IFERROR(VLOOKUP(H143, Relic_Price_Config!$G$5:$N$100, 5, FALSE), 10) + ABS(N(R143)) * IFERROR(VLOOKUP(H143, Relic_Price_Config!$G$5:$N$100, 6, FALSE), 15) + IF(N(S143)&gt;1, (N(S143)-1)*10, 0)) * IFERROR(VLOOKUP(G143, Relic_Price_Config!$A$5:$E$9, 2, FALSE), 1), 0))) * 0.1) / 5, 0) * 5)</f>
        <v>70</v>
      </c>
      <c r="AB143" s="5">
        <f t="shared" si="2"/>
        <v>50</v>
      </c>
    </row>
    <row r="144" spans="1:28" ht="24" customHeight="1">
      <c r="A144" s="2" t="s">
        <v>773</v>
      </c>
      <c r="B144" s="2" t="s">
        <v>774</v>
      </c>
      <c r="C144" s="3" t="s">
        <v>775</v>
      </c>
      <c r="D144" s="2" t="s">
        <v>76</v>
      </c>
      <c r="E144" s="2" t="s">
        <v>115</v>
      </c>
      <c r="F144" s="2" t="s">
        <v>33</v>
      </c>
      <c r="G144" s="2" t="s">
        <v>295</v>
      </c>
      <c r="H144" s="2" t="s">
        <v>93</v>
      </c>
      <c r="I144" s="2" t="s">
        <v>36</v>
      </c>
      <c r="J144" s="2">
        <v>0</v>
      </c>
      <c r="K144" s="2">
        <v>1</v>
      </c>
      <c r="L144" s="2">
        <v>19</v>
      </c>
      <c r="M144" s="2" t="s">
        <v>37</v>
      </c>
      <c r="N144" s="2">
        <v>1</v>
      </c>
      <c r="O144" s="2">
        <v>1</v>
      </c>
      <c r="P144" s="2">
        <v>0</v>
      </c>
      <c r="Q144" s="2" t="s">
        <v>94</v>
      </c>
      <c r="R144" s="2">
        <v>1</v>
      </c>
      <c r="S144" s="2">
        <v>2</v>
      </c>
      <c r="T144" s="2">
        <v>0</v>
      </c>
      <c r="U144" s="2"/>
      <c r="V144" s="2"/>
      <c r="W144" s="2"/>
      <c r="X144" s="2"/>
      <c r="Y144" s="3" t="s">
        <v>776</v>
      </c>
      <c r="Z144" s="3" t="s">
        <v>764</v>
      </c>
      <c r="AA144" s="2">
        <f>IF(OR(D144="Monster", E144="Basic"), 0, ROUND((MIN(IFERROR(VLOOKUP(G144, Relic_Price_Config!$A$5:$E$9, 4, FALSE), 350), MAX(IFERROR(VLOOKUP(G144, Relic_Price_Config!$A$5:$E$9, 3, FALSE), 210), ROUND((IFERROR(VLOOKUP(H144, Relic_Price_Config!$G$5:$N$100, 4, FALSE), 280) + N(L144) * IF(N(O144)&gt;1, N(O144), 1) * IFERROR(VLOOKUP(H144, Relic_Price_Config!$G$5:$N$100, 5, FALSE), 10) + ABS(N(R144)) * IFERROR(VLOOKUP(H144, Relic_Price_Config!$G$5:$N$100, 6, FALSE), 15) + IF(N(S144)&gt;1, (N(S144)-1)*10, 0)) * IFERROR(VLOOKUP(G144, Relic_Price_Config!$A$5:$E$9, 2, FALSE), 1), 0))) * 0.1) / 5, 0) * 5)</f>
        <v>70</v>
      </c>
      <c r="AB144" s="2">
        <f t="shared" si="2"/>
        <v>50</v>
      </c>
    </row>
    <row r="145" spans="1:28" ht="24">
      <c r="A145" s="5" t="s">
        <v>777</v>
      </c>
      <c r="B145" s="5" t="s">
        <v>778</v>
      </c>
      <c r="C145" s="9" t="s">
        <v>779</v>
      </c>
      <c r="D145" s="5" t="s">
        <v>76</v>
      </c>
      <c r="E145" s="2" t="s">
        <v>115</v>
      </c>
      <c r="F145" s="5" t="s">
        <v>43</v>
      </c>
      <c r="G145" s="5" t="s">
        <v>295</v>
      </c>
      <c r="H145" s="5" t="s">
        <v>638</v>
      </c>
      <c r="I145" s="5" t="s">
        <v>504</v>
      </c>
      <c r="J145" s="5">
        <v>0</v>
      </c>
      <c r="K145" s="5">
        <v>1</v>
      </c>
      <c r="L145" s="5">
        <v>15</v>
      </c>
      <c r="M145" s="5" t="s">
        <v>46</v>
      </c>
      <c r="N145" s="5">
        <v>1</v>
      </c>
      <c r="O145" s="5">
        <v>1</v>
      </c>
      <c r="P145" s="5">
        <v>0</v>
      </c>
      <c r="Q145" s="5"/>
      <c r="R145" s="5">
        <v>0</v>
      </c>
      <c r="S145" s="5">
        <v>0</v>
      </c>
      <c r="T145" s="5">
        <v>0</v>
      </c>
      <c r="U145" s="5"/>
      <c r="V145" s="5"/>
      <c r="W145" s="5"/>
      <c r="X145" s="5"/>
      <c r="Y145" s="6" t="s">
        <v>780</v>
      </c>
      <c r="Z145" s="6" t="s">
        <v>764</v>
      </c>
      <c r="AA145" s="5">
        <f>IF(OR(D145="Monster", E145="Basic"), 0, ROUND((MIN(IFERROR(VLOOKUP(G145, Relic_Price_Config!$A$5:$E$9, 4, FALSE), 350), MAX(IFERROR(VLOOKUP(G145, Relic_Price_Config!$A$5:$E$9, 3, FALSE), 210), ROUND((IFERROR(VLOOKUP(H145, Relic_Price_Config!$G$5:$N$100, 4, FALSE), 280) + N(L145) * IF(N(O145)&gt;1, N(O145), 1) * IFERROR(VLOOKUP(H145, Relic_Price_Config!$G$5:$N$100, 5, FALSE), 10) + ABS(N(R145)) * IFERROR(VLOOKUP(H145, Relic_Price_Config!$G$5:$N$100, 6, FALSE), 15) + IF(N(S145)&gt;1, (N(S145)-1)*10, 0)) * IFERROR(VLOOKUP(G145, Relic_Price_Config!$A$5:$E$9, 2, FALSE), 1), 0))) * 0.1) / 5, 0) * 5)</f>
        <v>70</v>
      </c>
      <c r="AB145" s="5">
        <f t="shared" si="2"/>
        <v>50</v>
      </c>
    </row>
    <row r="146" spans="1:28" ht="24" customHeight="1">
      <c r="A146" s="2" t="s">
        <v>781</v>
      </c>
      <c r="B146" s="2" t="s">
        <v>782</v>
      </c>
      <c r="C146" s="3" t="s">
        <v>783</v>
      </c>
      <c r="D146" s="2" t="s">
        <v>76</v>
      </c>
      <c r="E146" s="2" t="s">
        <v>115</v>
      </c>
      <c r="F146" s="2" t="s">
        <v>33</v>
      </c>
      <c r="G146" s="2" t="s">
        <v>295</v>
      </c>
      <c r="H146" s="2" t="s">
        <v>534</v>
      </c>
      <c r="I146" s="2" t="s">
        <v>36</v>
      </c>
      <c r="J146" s="2">
        <v>0</v>
      </c>
      <c r="K146" s="2">
        <v>1</v>
      </c>
      <c r="L146" s="2">
        <v>28</v>
      </c>
      <c r="M146" s="2" t="s">
        <v>37</v>
      </c>
      <c r="N146" s="2">
        <v>1</v>
      </c>
      <c r="O146" s="2">
        <v>1</v>
      </c>
      <c r="P146" s="2">
        <v>0</v>
      </c>
      <c r="Q146" s="2" t="s">
        <v>19</v>
      </c>
      <c r="R146" s="2">
        <v>5</v>
      </c>
      <c r="S146" s="2">
        <v>0</v>
      </c>
      <c r="T146" s="2">
        <v>5</v>
      </c>
      <c r="U146" s="2"/>
      <c r="V146" s="2"/>
      <c r="W146" s="2"/>
      <c r="X146" s="2"/>
      <c r="Y146" s="3" t="s">
        <v>784</v>
      </c>
      <c r="Z146" s="3" t="s">
        <v>785</v>
      </c>
      <c r="AA146" s="2">
        <f>IF(OR(D146="Monster", E146="Basic"), 0, ROUND((MIN(IFERROR(VLOOKUP(G146, Relic_Price_Config!$A$5:$E$9, 4, FALSE), 350), MAX(IFERROR(VLOOKUP(G146, Relic_Price_Config!$A$5:$E$9, 3, FALSE), 210), ROUND((IFERROR(VLOOKUP(H146, Relic_Price_Config!$G$5:$N$100, 4, FALSE), 280) + N(L146) * IF(N(O146)&gt;1, N(O146), 1) * IFERROR(VLOOKUP(H146, Relic_Price_Config!$G$5:$N$100, 5, FALSE), 10) + ABS(N(R146)) * IFERROR(VLOOKUP(H146, Relic_Price_Config!$G$5:$N$100, 6, FALSE), 15) + IF(N(S146)&gt;1, (N(S146)-1)*10, 0)) * IFERROR(VLOOKUP(G146, Relic_Price_Config!$A$5:$E$9, 2, FALSE), 1), 0))) * 0.1) / 5, 0) * 5)</f>
        <v>70</v>
      </c>
      <c r="AB146" s="2">
        <f t="shared" si="2"/>
        <v>50</v>
      </c>
    </row>
    <row r="147" spans="1:28" ht="24" customHeight="1">
      <c r="A147" s="5" t="s">
        <v>786</v>
      </c>
      <c r="B147" s="5" t="s">
        <v>787</v>
      </c>
      <c r="C147" s="9" t="s">
        <v>788</v>
      </c>
      <c r="D147" s="5" t="s">
        <v>76</v>
      </c>
      <c r="E147" s="2" t="s">
        <v>115</v>
      </c>
      <c r="F147" s="5" t="s">
        <v>51</v>
      </c>
      <c r="G147" s="5" t="s">
        <v>295</v>
      </c>
      <c r="H147" s="5" t="s">
        <v>789</v>
      </c>
      <c r="I147" s="5" t="s">
        <v>45</v>
      </c>
      <c r="J147" s="5">
        <v>0</v>
      </c>
      <c r="K147" s="5">
        <v>1</v>
      </c>
      <c r="L147" s="5">
        <v>0</v>
      </c>
      <c r="M147" s="5"/>
      <c r="N147" s="5">
        <v>0</v>
      </c>
      <c r="O147" s="5">
        <v>1</v>
      </c>
      <c r="P147" s="5">
        <v>0</v>
      </c>
      <c r="Q147" s="5" t="s">
        <v>329</v>
      </c>
      <c r="R147" s="5">
        <v>1</v>
      </c>
      <c r="S147" s="5">
        <v>2</v>
      </c>
      <c r="T147" s="5">
        <v>0</v>
      </c>
      <c r="U147" s="5"/>
      <c r="V147" s="5"/>
      <c r="W147" s="5"/>
      <c r="X147" s="5"/>
      <c r="Y147" s="6" t="s">
        <v>790</v>
      </c>
      <c r="Z147" s="6" t="s">
        <v>764</v>
      </c>
      <c r="AA147" s="5">
        <f>IF(OR(D147="Monster", E147="Basic"), 0, ROUND((MIN(IFERROR(VLOOKUP(G147, Relic_Price_Config!$A$5:$E$9, 4, FALSE), 350), MAX(IFERROR(VLOOKUP(G147, Relic_Price_Config!$A$5:$E$9, 3, FALSE), 210), ROUND((IFERROR(VLOOKUP(H147, Relic_Price_Config!$G$5:$N$100, 4, FALSE), 280) + N(L147) * IF(N(O147)&gt;1, N(O147), 1) * IFERROR(VLOOKUP(H147, Relic_Price_Config!$G$5:$N$100, 5, FALSE), 10) + ABS(N(R147)) * IFERROR(VLOOKUP(H147, Relic_Price_Config!$G$5:$N$100, 6, FALSE), 15) + IF(N(S147)&gt;1, (N(S147)-1)*10, 0)) * IFERROR(VLOOKUP(G147, Relic_Price_Config!$A$5:$E$9, 2, FALSE), 1), 0))) * 0.1) / 5, 0) * 5)</f>
        <v>65</v>
      </c>
      <c r="AB147" s="5">
        <f t="shared" si="2"/>
        <v>45</v>
      </c>
    </row>
    <row r="148" spans="1:28" ht="24" customHeight="1">
      <c r="A148" s="2" t="s">
        <v>791</v>
      </c>
      <c r="B148" s="2" t="s">
        <v>792</v>
      </c>
      <c r="C148" s="3" t="s">
        <v>793</v>
      </c>
      <c r="D148" s="2" t="s">
        <v>76</v>
      </c>
      <c r="E148" s="2" t="s">
        <v>115</v>
      </c>
      <c r="F148" s="2" t="s">
        <v>33</v>
      </c>
      <c r="G148" s="2" t="s">
        <v>295</v>
      </c>
      <c r="H148" s="2" t="s">
        <v>356</v>
      </c>
      <c r="I148" s="2" t="s">
        <v>108</v>
      </c>
      <c r="J148" s="2">
        <v>0</v>
      </c>
      <c r="K148" s="2">
        <v>1</v>
      </c>
      <c r="L148" s="2">
        <v>15</v>
      </c>
      <c r="M148" s="2" t="s">
        <v>37</v>
      </c>
      <c r="N148" s="2">
        <v>1</v>
      </c>
      <c r="O148" s="2">
        <v>1</v>
      </c>
      <c r="P148" s="2">
        <v>0</v>
      </c>
      <c r="Q148" s="2" t="s">
        <v>357</v>
      </c>
      <c r="R148" s="2">
        <v>1</v>
      </c>
      <c r="S148" s="2">
        <v>2</v>
      </c>
      <c r="T148" s="2">
        <v>0</v>
      </c>
      <c r="U148" s="2"/>
      <c r="V148" s="2"/>
      <c r="W148" s="2"/>
      <c r="X148" s="2"/>
      <c r="Y148" s="3" t="s">
        <v>794</v>
      </c>
      <c r="Z148" s="3" t="s">
        <v>764</v>
      </c>
      <c r="AA148" s="2">
        <f>IF(OR(D148="Monster", E148="Basic"), 0, ROUND((MIN(IFERROR(VLOOKUP(G148, Relic_Price_Config!$A$5:$E$9, 4, FALSE), 350), MAX(IFERROR(VLOOKUP(G148, Relic_Price_Config!$A$5:$E$9, 3, FALSE), 210), ROUND((IFERROR(VLOOKUP(H148, Relic_Price_Config!$G$5:$N$100, 4, FALSE), 280) + N(L148) * IF(N(O148)&gt;1, N(O148), 1) * IFERROR(VLOOKUP(H148, Relic_Price_Config!$G$5:$N$100, 5, FALSE), 10) + ABS(N(R148)) * IFERROR(VLOOKUP(H148, Relic_Price_Config!$G$5:$N$100, 6, FALSE), 15) + IF(N(S148)&gt;1, (N(S148)-1)*10, 0)) * IFERROR(VLOOKUP(G148, Relic_Price_Config!$A$5:$E$9, 2, FALSE), 1), 0))) * 0.1) / 5, 0) * 5)</f>
        <v>70</v>
      </c>
      <c r="AB148" s="2">
        <f t="shared" si="2"/>
        <v>50</v>
      </c>
    </row>
    <row r="149" spans="1:28" ht="24" customHeight="1">
      <c r="A149" s="5" t="s">
        <v>795</v>
      </c>
      <c r="B149" s="5" t="s">
        <v>796</v>
      </c>
      <c r="C149" s="9" t="s">
        <v>797</v>
      </c>
      <c r="D149" s="5" t="s">
        <v>76</v>
      </c>
      <c r="E149" s="2" t="s">
        <v>115</v>
      </c>
      <c r="F149" s="5" t="s">
        <v>43</v>
      </c>
      <c r="G149" s="5" t="s">
        <v>295</v>
      </c>
      <c r="H149" s="5" t="s">
        <v>52</v>
      </c>
      <c r="I149" s="5" t="s">
        <v>45</v>
      </c>
      <c r="J149" s="5">
        <v>0</v>
      </c>
      <c r="K149" s="5">
        <v>1</v>
      </c>
      <c r="L149" s="5">
        <v>16</v>
      </c>
      <c r="M149" s="5" t="s">
        <v>46</v>
      </c>
      <c r="N149" s="5">
        <v>1</v>
      </c>
      <c r="O149" s="5">
        <v>1</v>
      </c>
      <c r="P149" s="5">
        <v>6</v>
      </c>
      <c r="Q149" s="5" t="s">
        <v>53</v>
      </c>
      <c r="R149" s="5">
        <v>1</v>
      </c>
      <c r="S149" s="5">
        <v>2</v>
      </c>
      <c r="T149" s="5">
        <v>0</v>
      </c>
      <c r="U149" s="5"/>
      <c r="V149" s="5"/>
      <c r="W149" s="5"/>
      <c r="X149" s="5"/>
      <c r="Y149" s="6" t="s">
        <v>798</v>
      </c>
      <c r="Z149" s="6" t="s">
        <v>799</v>
      </c>
      <c r="AA149" s="5">
        <f>IF(OR(D149="Monster", E149="Basic"), 0, ROUND((MIN(IFERROR(VLOOKUP(G149, Relic_Price_Config!$A$5:$E$9, 4, FALSE), 350), MAX(IFERROR(VLOOKUP(G149, Relic_Price_Config!$A$5:$E$9, 3, FALSE), 210), ROUND((IFERROR(VLOOKUP(H149, Relic_Price_Config!$G$5:$N$100, 4, FALSE), 280) + N(L149) * IF(N(O149)&gt;1, N(O149), 1) * IFERROR(VLOOKUP(H149, Relic_Price_Config!$G$5:$N$100, 5, FALSE), 10) + ABS(N(R149)) * IFERROR(VLOOKUP(H149, Relic_Price_Config!$G$5:$N$100, 6, FALSE), 15) + IF(N(S149)&gt;1, (N(S149)-1)*10, 0)) * IFERROR(VLOOKUP(G149, Relic_Price_Config!$A$5:$E$9, 2, FALSE), 1), 0))) * 0.1) / 5, 0) * 5)</f>
        <v>70</v>
      </c>
      <c r="AB149" s="5">
        <f t="shared" si="2"/>
        <v>50</v>
      </c>
    </row>
    <row r="150" spans="1:28" ht="24" customHeight="1">
      <c r="A150" s="2" t="s">
        <v>800</v>
      </c>
      <c r="B150" s="2" t="s">
        <v>801</v>
      </c>
      <c r="C150" s="3" t="s">
        <v>802</v>
      </c>
      <c r="D150" s="2" t="s">
        <v>76</v>
      </c>
      <c r="E150" s="2" t="s">
        <v>115</v>
      </c>
      <c r="F150" s="2" t="s">
        <v>33</v>
      </c>
      <c r="G150" s="2" t="s">
        <v>295</v>
      </c>
      <c r="H150" s="2" t="s">
        <v>321</v>
      </c>
      <c r="I150" s="2" t="s">
        <v>36</v>
      </c>
      <c r="J150" s="2">
        <v>0</v>
      </c>
      <c r="K150" s="2">
        <v>1</v>
      </c>
      <c r="L150" s="2">
        <v>17</v>
      </c>
      <c r="M150" s="2" t="s">
        <v>37</v>
      </c>
      <c r="N150" s="2">
        <v>1</v>
      </c>
      <c r="O150" s="2">
        <v>1</v>
      </c>
      <c r="P150" s="2">
        <v>12</v>
      </c>
      <c r="Q150" s="2" t="s">
        <v>322</v>
      </c>
      <c r="R150" s="2">
        <v>1</v>
      </c>
      <c r="S150" s="2">
        <v>1</v>
      </c>
      <c r="T150" s="2">
        <v>0</v>
      </c>
      <c r="U150" s="2"/>
      <c r="V150" s="2"/>
      <c r="W150" s="2"/>
      <c r="X150" s="2"/>
      <c r="Y150" s="3" t="s">
        <v>803</v>
      </c>
      <c r="Z150" s="3" t="s">
        <v>804</v>
      </c>
      <c r="AA150" s="2">
        <f>IF(OR(D150="Monster", E150="Basic"), 0, ROUND((MIN(IFERROR(VLOOKUP(G150, Relic_Price_Config!$A$5:$E$9, 4, FALSE), 350), MAX(IFERROR(VLOOKUP(G150, Relic_Price_Config!$A$5:$E$9, 3, FALSE), 210), ROUND((IFERROR(VLOOKUP(H150, Relic_Price_Config!$G$5:$N$100, 4, FALSE), 280) + N(L150) * IF(N(O150)&gt;1, N(O150), 1) * IFERROR(VLOOKUP(H150, Relic_Price_Config!$G$5:$N$100, 5, FALSE), 10) + ABS(N(R150)) * IFERROR(VLOOKUP(H150, Relic_Price_Config!$G$5:$N$100, 6, FALSE), 15) + IF(N(S150)&gt;1, (N(S150)-1)*10, 0)) * IFERROR(VLOOKUP(G150, Relic_Price_Config!$A$5:$E$9, 2, FALSE), 1), 0))) * 0.1) / 5, 0) * 5)</f>
        <v>70</v>
      </c>
      <c r="AB150" s="2">
        <f t="shared" si="2"/>
        <v>50</v>
      </c>
    </row>
    <row r="151" spans="1:28" ht="24" customHeight="1">
      <c r="A151" s="5" t="s">
        <v>805</v>
      </c>
      <c r="B151" s="5" t="s">
        <v>806</v>
      </c>
      <c r="C151" s="9" t="s">
        <v>807</v>
      </c>
      <c r="D151" s="5" t="s">
        <v>76</v>
      </c>
      <c r="E151" s="2" t="s">
        <v>115</v>
      </c>
      <c r="F151" s="5" t="s">
        <v>33</v>
      </c>
      <c r="G151" s="5" t="s">
        <v>295</v>
      </c>
      <c r="H151" s="5" t="s">
        <v>335</v>
      </c>
      <c r="I151" s="5" t="s">
        <v>108</v>
      </c>
      <c r="J151" s="5">
        <v>0</v>
      </c>
      <c r="K151" s="5">
        <v>1</v>
      </c>
      <c r="L151" s="5">
        <v>16</v>
      </c>
      <c r="M151" s="5" t="s">
        <v>37</v>
      </c>
      <c r="N151" s="5">
        <v>1</v>
      </c>
      <c r="O151" s="5">
        <v>1</v>
      </c>
      <c r="P151" s="5">
        <v>10</v>
      </c>
      <c r="Q151" s="5"/>
      <c r="R151" s="5">
        <v>0</v>
      </c>
      <c r="S151" s="5">
        <v>0</v>
      </c>
      <c r="T151" s="5">
        <v>0</v>
      </c>
      <c r="U151" s="5"/>
      <c r="V151" s="5"/>
      <c r="W151" s="5"/>
      <c r="X151" s="5"/>
      <c r="Y151" s="6" t="s">
        <v>808</v>
      </c>
      <c r="Z151" s="6" t="s">
        <v>809</v>
      </c>
      <c r="AA151" s="5">
        <f>IF(OR(D151="Monster", E151="Basic"), 0, ROUND((MIN(IFERROR(VLOOKUP(G151, Relic_Price_Config!$A$5:$E$9, 4, FALSE), 350), MAX(IFERROR(VLOOKUP(G151, Relic_Price_Config!$A$5:$E$9, 3, FALSE), 210), ROUND((IFERROR(VLOOKUP(H151, Relic_Price_Config!$G$5:$N$100, 4, FALSE), 280) + N(L151) * IF(N(O151)&gt;1, N(O151), 1) * IFERROR(VLOOKUP(H151, Relic_Price_Config!$G$5:$N$100, 5, FALSE), 10) + ABS(N(R151)) * IFERROR(VLOOKUP(H151, Relic_Price_Config!$G$5:$N$100, 6, FALSE), 15) + IF(N(S151)&gt;1, (N(S151)-1)*10, 0)) * IFERROR(VLOOKUP(G151, Relic_Price_Config!$A$5:$E$9, 2, FALSE), 1), 0))) * 0.1) / 5, 0) * 5)</f>
        <v>70</v>
      </c>
      <c r="AB151" s="5">
        <f t="shared" si="2"/>
        <v>50</v>
      </c>
    </row>
    <row r="152" spans="1:28" ht="24" customHeight="1">
      <c r="A152" s="2" t="s">
        <v>810</v>
      </c>
      <c r="B152" s="2" t="s">
        <v>811</v>
      </c>
      <c r="C152" s="3" t="s">
        <v>812</v>
      </c>
      <c r="D152" s="2" t="s">
        <v>76</v>
      </c>
      <c r="E152" s="2" t="s">
        <v>115</v>
      </c>
      <c r="F152" s="2" t="s">
        <v>43</v>
      </c>
      <c r="G152" s="2" t="s">
        <v>295</v>
      </c>
      <c r="H152" s="2" t="s">
        <v>503</v>
      </c>
      <c r="I152" s="2" t="s">
        <v>504</v>
      </c>
      <c r="J152" s="2">
        <v>0</v>
      </c>
      <c r="K152" s="2">
        <v>1</v>
      </c>
      <c r="L152" s="2">
        <v>12</v>
      </c>
      <c r="M152" s="2" t="s">
        <v>46</v>
      </c>
      <c r="N152" s="2">
        <v>1</v>
      </c>
      <c r="O152" s="2">
        <v>1</v>
      </c>
      <c r="P152" s="2">
        <v>0</v>
      </c>
      <c r="Q152" s="2" t="s">
        <v>229</v>
      </c>
      <c r="R152" s="2">
        <v>2</v>
      </c>
      <c r="S152" s="2">
        <v>2</v>
      </c>
      <c r="T152" s="2">
        <v>0</v>
      </c>
      <c r="U152" s="2"/>
      <c r="V152" s="2"/>
      <c r="W152" s="2"/>
      <c r="X152" s="2"/>
      <c r="Y152" s="3" t="s">
        <v>813</v>
      </c>
      <c r="Z152" s="3" t="s">
        <v>814</v>
      </c>
      <c r="AA152" s="2">
        <f>IF(OR(D152="Monster", E152="Basic"), 0, ROUND((MIN(IFERROR(VLOOKUP(G152, Relic_Price_Config!$A$5:$E$9, 4, FALSE), 350), MAX(IFERROR(VLOOKUP(G152, Relic_Price_Config!$A$5:$E$9, 3, FALSE), 210), ROUND((IFERROR(VLOOKUP(H152, Relic_Price_Config!$G$5:$N$100, 4, FALSE), 280) + N(L152) * IF(N(O152)&gt;1, N(O152), 1) * IFERROR(VLOOKUP(H152, Relic_Price_Config!$G$5:$N$100, 5, FALSE), 10) + ABS(N(R152)) * IFERROR(VLOOKUP(H152, Relic_Price_Config!$G$5:$N$100, 6, FALSE), 15) + IF(N(S152)&gt;1, (N(S152)-1)*10, 0)) * IFERROR(VLOOKUP(G152, Relic_Price_Config!$A$5:$E$9, 2, FALSE), 1), 0))) * 0.1) / 5, 0) * 5)</f>
        <v>70</v>
      </c>
      <c r="AB152" s="2">
        <f t="shared" si="2"/>
        <v>50</v>
      </c>
    </row>
    <row r="153" spans="1:28" ht="24" customHeight="1">
      <c r="A153" s="5" t="s">
        <v>815</v>
      </c>
      <c r="B153" s="5" t="s">
        <v>816</v>
      </c>
      <c r="C153" s="9" t="s">
        <v>817</v>
      </c>
      <c r="D153" s="5" t="s">
        <v>76</v>
      </c>
      <c r="E153" s="2" t="s">
        <v>115</v>
      </c>
      <c r="F153" s="5" t="s">
        <v>51</v>
      </c>
      <c r="G153" s="5" t="s">
        <v>295</v>
      </c>
      <c r="H153" s="5" t="s">
        <v>520</v>
      </c>
      <c r="I153" s="5" t="s">
        <v>504</v>
      </c>
      <c r="J153" s="5">
        <v>0</v>
      </c>
      <c r="K153" s="5">
        <v>1</v>
      </c>
      <c r="L153" s="5">
        <v>0</v>
      </c>
      <c r="M153" s="5"/>
      <c r="N153" s="5">
        <v>0</v>
      </c>
      <c r="O153" s="5">
        <v>1</v>
      </c>
      <c r="P153" s="5">
        <v>0</v>
      </c>
      <c r="Q153" s="5" t="s">
        <v>71</v>
      </c>
      <c r="R153" s="5">
        <v>2</v>
      </c>
      <c r="S153" s="5">
        <v>-1</v>
      </c>
      <c r="T153" s="5">
        <v>0</v>
      </c>
      <c r="U153" s="5"/>
      <c r="V153" s="5"/>
      <c r="W153" s="5"/>
      <c r="X153" s="5"/>
      <c r="Y153" s="6" t="s">
        <v>818</v>
      </c>
      <c r="Z153" s="6" t="s">
        <v>819</v>
      </c>
      <c r="AA153" s="5">
        <f>IF(OR(D153="Monster", E153="Basic"), 0, ROUND((MIN(IFERROR(VLOOKUP(G153, Relic_Price_Config!$A$5:$E$9, 4, FALSE), 350), MAX(IFERROR(VLOOKUP(G153, Relic_Price_Config!$A$5:$E$9, 3, FALSE), 210), ROUND((IFERROR(VLOOKUP(H153, Relic_Price_Config!$G$5:$N$100, 4, FALSE), 280) + N(L153) * IF(N(O153)&gt;1, N(O153), 1) * IFERROR(VLOOKUP(H153, Relic_Price_Config!$G$5:$N$100, 5, FALSE), 10) + ABS(N(R153)) * IFERROR(VLOOKUP(H153, Relic_Price_Config!$G$5:$N$100, 6, FALSE), 15) + IF(N(S153)&gt;1, (N(S153)-1)*10, 0)) * IFERROR(VLOOKUP(G153, Relic_Price_Config!$A$5:$E$9, 2, FALSE), 1), 0))) * 0.1) / 5, 0) * 5)</f>
        <v>70</v>
      </c>
      <c r="AB153" s="5">
        <f t="shared" si="2"/>
        <v>50</v>
      </c>
    </row>
    <row r="154" spans="1:28" ht="24" customHeight="1">
      <c r="A154" s="2" t="s">
        <v>820</v>
      </c>
      <c r="B154" s="2" t="s">
        <v>821</v>
      </c>
      <c r="C154" s="3" t="s">
        <v>822</v>
      </c>
      <c r="D154" s="2" t="s">
        <v>76</v>
      </c>
      <c r="E154" s="2" t="s">
        <v>115</v>
      </c>
      <c r="F154" s="2" t="s">
        <v>33</v>
      </c>
      <c r="G154" s="2" t="s">
        <v>295</v>
      </c>
      <c r="H154" s="2" t="s">
        <v>350</v>
      </c>
      <c r="I154" s="2" t="s">
        <v>108</v>
      </c>
      <c r="J154" s="2">
        <v>0</v>
      </c>
      <c r="K154" s="2">
        <v>1</v>
      </c>
      <c r="L154" s="2">
        <v>15</v>
      </c>
      <c r="M154" s="2" t="s">
        <v>37</v>
      </c>
      <c r="N154" s="2">
        <v>1</v>
      </c>
      <c r="O154" s="2">
        <v>1</v>
      </c>
      <c r="P154" s="2">
        <v>0</v>
      </c>
      <c r="Q154" s="2" t="s">
        <v>94</v>
      </c>
      <c r="R154" s="2">
        <v>1</v>
      </c>
      <c r="S154" s="2">
        <v>2</v>
      </c>
      <c r="T154" s="2">
        <v>0</v>
      </c>
      <c r="U154" s="2"/>
      <c r="V154" s="2"/>
      <c r="W154" s="2"/>
      <c r="X154" s="2"/>
      <c r="Y154" s="3" t="s">
        <v>823</v>
      </c>
      <c r="Z154" s="3" t="s">
        <v>824</v>
      </c>
      <c r="AA154" s="2">
        <f>IF(OR(D154="Monster", E154="Basic"), 0, ROUND((MIN(IFERROR(VLOOKUP(G154, Relic_Price_Config!$A$5:$E$9, 4, FALSE), 350), MAX(IFERROR(VLOOKUP(G154, Relic_Price_Config!$A$5:$E$9, 3, FALSE), 210), ROUND((IFERROR(VLOOKUP(H154, Relic_Price_Config!$G$5:$N$100, 4, FALSE), 280) + N(L154) * IF(N(O154)&gt;1, N(O154), 1) * IFERROR(VLOOKUP(H154, Relic_Price_Config!$G$5:$N$100, 5, FALSE), 10) + ABS(N(R154)) * IFERROR(VLOOKUP(H154, Relic_Price_Config!$G$5:$N$100, 6, FALSE), 15) + IF(N(S154)&gt;1, (N(S154)-1)*10, 0)) * IFERROR(VLOOKUP(G154, Relic_Price_Config!$A$5:$E$9, 2, FALSE), 1), 0))) * 0.1) / 5, 0) * 5)</f>
        <v>70</v>
      </c>
      <c r="AB154" s="2">
        <f t="shared" si="2"/>
        <v>50</v>
      </c>
    </row>
    <row r="155" spans="1:28" ht="27.6" customHeight="1">
      <c r="A155" s="2" t="s">
        <v>825</v>
      </c>
      <c r="B155" s="2" t="s">
        <v>826</v>
      </c>
      <c r="C155" s="3" t="s">
        <v>827</v>
      </c>
      <c r="D155" s="2" t="s">
        <v>92</v>
      </c>
      <c r="E155" s="2" t="s">
        <v>115</v>
      </c>
      <c r="F155" s="2" t="s">
        <v>33</v>
      </c>
      <c r="G155" s="2" t="s">
        <v>34</v>
      </c>
      <c r="H155" s="2" t="s">
        <v>35</v>
      </c>
      <c r="I155" s="2" t="s">
        <v>36</v>
      </c>
      <c r="J155" s="2">
        <v>0</v>
      </c>
      <c r="K155" s="2">
        <v>1</v>
      </c>
      <c r="L155" s="2">
        <v>4</v>
      </c>
      <c r="M155" s="2" t="s">
        <v>37</v>
      </c>
      <c r="N155" s="2">
        <v>1</v>
      </c>
      <c r="O155" s="2">
        <v>2</v>
      </c>
      <c r="P155" s="2">
        <v>0</v>
      </c>
      <c r="Q155" s="2"/>
      <c r="R155" s="2">
        <v>0</v>
      </c>
      <c r="S155" s="2">
        <v>0</v>
      </c>
      <c r="T155" s="2">
        <v>0</v>
      </c>
      <c r="U155" s="2"/>
      <c r="V155" s="2"/>
      <c r="W155" s="2"/>
      <c r="X155" s="2"/>
      <c r="Y155" s="3" t="s">
        <v>828</v>
      </c>
      <c r="Z155" s="3" t="s">
        <v>829</v>
      </c>
      <c r="AA155" s="2">
        <f>IF(OR(D155="Monster", E155="Basic"), 0, ROUND((MIN(IFERROR(VLOOKUP(G155, Relic_Price_Config!$A$5:$E$9, 4, FALSE), 350), MAX(IFERROR(VLOOKUP(G155, Relic_Price_Config!$A$5:$E$9, 3, FALSE), 210), ROUND((IFERROR(VLOOKUP(H155, Relic_Price_Config!$G$5:$N$100, 4, FALSE), 280) + N(L155) * IF(N(O155)&gt;1, N(O155), 1) * IFERROR(VLOOKUP(H155, Relic_Price_Config!$G$5:$N$100, 5, FALSE), 10) + ABS(N(R155)) * IFERROR(VLOOKUP(H155, Relic_Price_Config!$G$5:$N$100, 6, FALSE), 15) + IF(N(S155)&gt;1, (N(S155)-1)*10, 0)) * IFERROR(VLOOKUP(G155, Relic_Price_Config!$A$5:$E$9, 2, FALSE), 1), 0))) * 0.1) / 5, 0) * 5)</f>
        <v>30</v>
      </c>
      <c r="AB155" s="2">
        <f t="shared" si="2"/>
        <v>20</v>
      </c>
    </row>
    <row r="156" spans="1:28" ht="24" customHeight="1">
      <c r="A156" s="5" t="s">
        <v>830</v>
      </c>
      <c r="B156" s="5" t="s">
        <v>831</v>
      </c>
      <c r="C156" s="9" t="s">
        <v>832</v>
      </c>
      <c r="D156" s="5" t="s">
        <v>92</v>
      </c>
      <c r="E156" s="2" t="s">
        <v>115</v>
      </c>
      <c r="F156" s="5" t="s">
        <v>33</v>
      </c>
      <c r="G156" s="5" t="s">
        <v>34</v>
      </c>
      <c r="H156" s="5" t="s">
        <v>833</v>
      </c>
      <c r="I156" s="5" t="s">
        <v>36</v>
      </c>
      <c r="J156" s="5">
        <v>0</v>
      </c>
      <c r="K156" s="5">
        <v>1</v>
      </c>
      <c r="L156" s="5">
        <v>3</v>
      </c>
      <c r="M156" s="5" t="s">
        <v>37</v>
      </c>
      <c r="N156" s="5">
        <v>1</v>
      </c>
      <c r="O156" s="5">
        <v>2</v>
      </c>
      <c r="P156" s="5">
        <v>0</v>
      </c>
      <c r="Q156" s="5" t="s">
        <v>94</v>
      </c>
      <c r="R156" s="5">
        <v>1</v>
      </c>
      <c r="S156" s="5">
        <v>1</v>
      </c>
      <c r="T156" s="5">
        <v>0</v>
      </c>
      <c r="U156" s="5"/>
      <c r="V156" s="5"/>
      <c r="W156" s="5"/>
      <c r="X156" s="5"/>
      <c r="Y156" s="6" t="s">
        <v>834</v>
      </c>
      <c r="Z156" s="6" t="s">
        <v>829</v>
      </c>
      <c r="AA156" s="5">
        <f>IF(OR(D156="Monster", E156="Basic"), 0, ROUND((MIN(IFERROR(VLOOKUP(G156, Relic_Price_Config!$A$5:$E$9, 4, FALSE), 350), MAX(IFERROR(VLOOKUP(G156, Relic_Price_Config!$A$5:$E$9, 3, FALSE), 210), ROUND((IFERROR(VLOOKUP(H156, Relic_Price_Config!$G$5:$N$100, 4, FALSE), 280) + N(L156) * IF(N(O156)&gt;1, N(O156), 1) * IFERROR(VLOOKUP(H156, Relic_Price_Config!$G$5:$N$100, 5, FALSE), 10) + ABS(N(R156)) * IFERROR(VLOOKUP(H156, Relic_Price_Config!$G$5:$N$100, 6, FALSE), 15) + IF(N(S156)&gt;1, (N(S156)-1)*10, 0)) * IFERROR(VLOOKUP(G156, Relic_Price_Config!$A$5:$E$9, 2, FALSE), 1), 0))) * 0.1) / 5, 0) * 5)</f>
        <v>30</v>
      </c>
      <c r="AB156" s="5">
        <f t="shared" si="2"/>
        <v>20</v>
      </c>
    </row>
    <row r="157" spans="1:28" ht="24" customHeight="1">
      <c r="A157" s="2" t="s">
        <v>835</v>
      </c>
      <c r="B157" s="2" t="s">
        <v>836</v>
      </c>
      <c r="C157" s="3" t="s">
        <v>837</v>
      </c>
      <c r="D157" s="2" t="s">
        <v>92</v>
      </c>
      <c r="E157" s="2" t="s">
        <v>115</v>
      </c>
      <c r="F157" s="2" t="s">
        <v>33</v>
      </c>
      <c r="G157" s="2" t="s">
        <v>34</v>
      </c>
      <c r="H157" s="2" t="s">
        <v>174</v>
      </c>
      <c r="I157" s="2" t="s">
        <v>108</v>
      </c>
      <c r="J157" s="2">
        <v>0</v>
      </c>
      <c r="K157" s="2">
        <v>1</v>
      </c>
      <c r="L157" s="2">
        <v>3</v>
      </c>
      <c r="M157" s="2" t="s">
        <v>37</v>
      </c>
      <c r="N157" s="2">
        <v>1</v>
      </c>
      <c r="O157" s="2">
        <v>2</v>
      </c>
      <c r="P157" s="2">
        <v>0</v>
      </c>
      <c r="Q157" s="2"/>
      <c r="R157" s="2">
        <v>0</v>
      </c>
      <c r="S157" s="2">
        <v>0</v>
      </c>
      <c r="T157" s="2">
        <v>0</v>
      </c>
      <c r="U157" s="2"/>
      <c r="V157" s="2"/>
      <c r="W157" s="2"/>
      <c r="X157" s="2"/>
      <c r="Y157" s="3" t="s">
        <v>838</v>
      </c>
      <c r="Z157" s="3" t="s">
        <v>829</v>
      </c>
      <c r="AA157" s="2">
        <f>IF(OR(D157="Monster", E157="Basic"), 0, ROUND((MIN(IFERROR(VLOOKUP(G157, Relic_Price_Config!$A$5:$E$9, 4, FALSE), 350), MAX(IFERROR(VLOOKUP(G157, Relic_Price_Config!$A$5:$E$9, 3, FALSE), 210), ROUND((IFERROR(VLOOKUP(H157, Relic_Price_Config!$G$5:$N$100, 4, FALSE), 280) + N(L157) * IF(N(O157)&gt;1, N(O157), 1) * IFERROR(VLOOKUP(H157, Relic_Price_Config!$G$5:$N$100, 5, FALSE), 10) + ABS(N(R157)) * IFERROR(VLOOKUP(H157, Relic_Price_Config!$G$5:$N$100, 6, FALSE), 15) + IF(N(S157)&gt;1, (N(S157)-1)*10, 0)) * IFERROR(VLOOKUP(G157, Relic_Price_Config!$A$5:$E$9, 2, FALSE), 1), 0))) * 0.1) / 5, 0) * 5)</f>
        <v>30</v>
      </c>
      <c r="AB157" s="2">
        <f t="shared" si="2"/>
        <v>20</v>
      </c>
    </row>
    <row r="158" spans="1:28" ht="24" customHeight="1">
      <c r="A158" s="5" t="s">
        <v>839</v>
      </c>
      <c r="B158" s="5" t="s">
        <v>840</v>
      </c>
      <c r="C158" s="9" t="s">
        <v>841</v>
      </c>
      <c r="D158" s="5" t="s">
        <v>92</v>
      </c>
      <c r="E158" s="2" t="s">
        <v>115</v>
      </c>
      <c r="F158" s="5" t="s">
        <v>33</v>
      </c>
      <c r="G158" s="5" t="s">
        <v>34</v>
      </c>
      <c r="H158" s="5" t="s">
        <v>842</v>
      </c>
      <c r="I158" s="5" t="s">
        <v>36</v>
      </c>
      <c r="J158" s="5">
        <v>0</v>
      </c>
      <c r="K158" s="5">
        <v>1</v>
      </c>
      <c r="L158" s="5">
        <v>5</v>
      </c>
      <c r="M158" s="5" t="s">
        <v>37</v>
      </c>
      <c r="N158" s="5">
        <v>1</v>
      </c>
      <c r="O158" s="5">
        <v>1</v>
      </c>
      <c r="P158" s="5">
        <v>0</v>
      </c>
      <c r="Q158" s="5" t="s">
        <v>109</v>
      </c>
      <c r="R158" s="5">
        <v>3</v>
      </c>
      <c r="S158" s="5">
        <v>2</v>
      </c>
      <c r="T158" s="5">
        <v>0</v>
      </c>
      <c r="U158" s="5"/>
      <c r="V158" s="5"/>
      <c r="W158" s="5"/>
      <c r="X158" s="5"/>
      <c r="Y158" s="6" t="s">
        <v>843</v>
      </c>
      <c r="Z158" s="6" t="s">
        <v>844</v>
      </c>
      <c r="AA158" s="5">
        <f>IF(OR(D158="Monster", E158="Basic"), 0, ROUND((MIN(IFERROR(VLOOKUP(G158, Relic_Price_Config!$A$5:$E$9, 4, FALSE), 350), MAX(IFERROR(VLOOKUP(G158, Relic_Price_Config!$A$5:$E$9, 3, FALSE), 210), ROUND((IFERROR(VLOOKUP(H158, Relic_Price_Config!$G$5:$N$100, 4, FALSE), 280) + N(L158) * IF(N(O158)&gt;1, N(O158), 1) * IFERROR(VLOOKUP(H158, Relic_Price_Config!$G$5:$N$100, 5, FALSE), 10) + ABS(N(R158)) * IFERROR(VLOOKUP(H158, Relic_Price_Config!$G$5:$N$100, 6, FALSE), 15) + IF(N(S158)&gt;1, (N(S158)-1)*10, 0)) * IFERROR(VLOOKUP(G158, Relic_Price_Config!$A$5:$E$9, 2, FALSE), 1), 0))) * 0.1) / 5, 0) * 5)</f>
        <v>35</v>
      </c>
      <c r="AB158" s="5">
        <f t="shared" si="2"/>
        <v>25</v>
      </c>
    </row>
    <row r="159" spans="1:28" ht="24" customHeight="1">
      <c r="A159" s="2" t="s">
        <v>845</v>
      </c>
      <c r="B159" s="2" t="s">
        <v>846</v>
      </c>
      <c r="C159" s="3" t="s">
        <v>847</v>
      </c>
      <c r="D159" s="2" t="s">
        <v>92</v>
      </c>
      <c r="E159" s="2" t="s">
        <v>115</v>
      </c>
      <c r="F159" s="2" t="s">
        <v>33</v>
      </c>
      <c r="G159" s="2" t="s">
        <v>34</v>
      </c>
      <c r="H159" s="2" t="s">
        <v>489</v>
      </c>
      <c r="I159" s="2" t="s">
        <v>108</v>
      </c>
      <c r="J159" s="2">
        <v>0</v>
      </c>
      <c r="K159" s="2">
        <v>1</v>
      </c>
      <c r="L159" s="2">
        <v>4</v>
      </c>
      <c r="M159" s="2" t="s">
        <v>37</v>
      </c>
      <c r="N159" s="2">
        <v>1</v>
      </c>
      <c r="O159" s="2">
        <v>1</v>
      </c>
      <c r="P159" s="2">
        <v>0</v>
      </c>
      <c r="Q159" s="2" t="s">
        <v>109</v>
      </c>
      <c r="R159" s="2">
        <v>2</v>
      </c>
      <c r="S159" s="2">
        <v>2</v>
      </c>
      <c r="T159" s="2">
        <v>0</v>
      </c>
      <c r="U159" s="2"/>
      <c r="V159" s="2"/>
      <c r="W159" s="2"/>
      <c r="X159" s="2"/>
      <c r="Y159" s="3" t="s">
        <v>848</v>
      </c>
      <c r="Z159" s="3" t="s">
        <v>844</v>
      </c>
      <c r="AA159" s="2">
        <f>IF(OR(D159="Monster", E159="Basic"), 0, ROUND((MIN(IFERROR(VLOOKUP(G159, Relic_Price_Config!$A$5:$E$9, 4, FALSE), 350), MAX(IFERROR(VLOOKUP(G159, Relic_Price_Config!$A$5:$E$9, 3, FALSE), 210), ROUND((IFERROR(VLOOKUP(H159, Relic_Price_Config!$G$5:$N$100, 4, FALSE), 280) + N(L159) * IF(N(O159)&gt;1, N(O159), 1) * IFERROR(VLOOKUP(H159, Relic_Price_Config!$G$5:$N$100, 5, FALSE), 10) + ABS(N(R159)) * IFERROR(VLOOKUP(H159, Relic_Price_Config!$G$5:$N$100, 6, FALSE), 15) + IF(N(S159)&gt;1, (N(S159)-1)*10, 0)) * IFERROR(VLOOKUP(G159, Relic_Price_Config!$A$5:$E$9, 2, FALSE), 1), 0))) * 0.1) / 5, 0) * 5)</f>
        <v>30</v>
      </c>
      <c r="AB159" s="2">
        <f t="shared" si="2"/>
        <v>20</v>
      </c>
    </row>
    <row r="160" spans="1:28" ht="24" customHeight="1">
      <c r="A160" s="5" t="s">
        <v>849</v>
      </c>
      <c r="B160" s="5" t="s">
        <v>850</v>
      </c>
      <c r="C160" s="9" t="s">
        <v>851</v>
      </c>
      <c r="D160" s="5" t="s">
        <v>92</v>
      </c>
      <c r="E160" s="2" t="s">
        <v>115</v>
      </c>
      <c r="F160" s="5" t="s">
        <v>51</v>
      </c>
      <c r="G160" s="5" t="s">
        <v>34</v>
      </c>
      <c r="H160" s="5" t="s">
        <v>852</v>
      </c>
      <c r="I160" s="5" t="s">
        <v>108</v>
      </c>
      <c r="J160" s="5">
        <v>0</v>
      </c>
      <c r="K160" s="5">
        <v>1</v>
      </c>
      <c r="L160" s="5">
        <v>1</v>
      </c>
      <c r="M160" s="5" t="s">
        <v>46</v>
      </c>
      <c r="N160" s="5">
        <v>1</v>
      </c>
      <c r="O160" s="5">
        <v>1</v>
      </c>
      <c r="P160" s="5">
        <v>0</v>
      </c>
      <c r="Q160" s="5" t="s">
        <v>109</v>
      </c>
      <c r="R160" s="5">
        <v>3</v>
      </c>
      <c r="S160" s="5">
        <v>2</v>
      </c>
      <c r="T160" s="5">
        <v>0</v>
      </c>
      <c r="U160" s="5"/>
      <c r="V160" s="5"/>
      <c r="W160" s="5"/>
      <c r="X160" s="5"/>
      <c r="Y160" s="6" t="s">
        <v>853</v>
      </c>
      <c r="Z160" s="6" t="s">
        <v>844</v>
      </c>
      <c r="AA160" s="5">
        <f>IF(OR(D160="Monster", E160="Basic"), 0, ROUND((MIN(IFERROR(VLOOKUP(G160, Relic_Price_Config!$A$5:$E$9, 4, FALSE), 350), MAX(IFERROR(VLOOKUP(G160, Relic_Price_Config!$A$5:$E$9, 3, FALSE), 210), ROUND((IFERROR(VLOOKUP(H160, Relic_Price_Config!$G$5:$N$100, 4, FALSE), 280) + N(L160) * IF(N(O160)&gt;1, N(O160), 1) * IFERROR(VLOOKUP(H160, Relic_Price_Config!$G$5:$N$100, 5, FALSE), 10) + ABS(N(R160)) * IFERROR(VLOOKUP(H160, Relic_Price_Config!$G$5:$N$100, 6, FALSE), 15) + IF(N(S160)&gt;1, (N(S160)-1)*10, 0)) * IFERROR(VLOOKUP(G160, Relic_Price_Config!$A$5:$E$9, 2, FALSE), 1), 0))) * 0.1) / 5, 0) * 5)</f>
        <v>35</v>
      </c>
      <c r="AB160" s="5">
        <f t="shared" si="2"/>
        <v>25</v>
      </c>
    </row>
    <row r="161" spans="1:28" ht="24" customHeight="1">
      <c r="A161" s="2" t="s">
        <v>854</v>
      </c>
      <c r="B161" s="2" t="s">
        <v>855</v>
      </c>
      <c r="C161" s="3" t="s">
        <v>856</v>
      </c>
      <c r="D161" s="2" t="s">
        <v>92</v>
      </c>
      <c r="E161" s="2" t="s">
        <v>115</v>
      </c>
      <c r="F161" s="2" t="s">
        <v>51</v>
      </c>
      <c r="G161" s="2" t="s">
        <v>34</v>
      </c>
      <c r="H161" s="2" t="s">
        <v>857</v>
      </c>
      <c r="I161" s="2" t="s">
        <v>45</v>
      </c>
      <c r="J161" s="2">
        <v>0</v>
      </c>
      <c r="K161" s="2">
        <v>1</v>
      </c>
      <c r="L161" s="2">
        <v>0</v>
      </c>
      <c r="M161" s="2"/>
      <c r="N161" s="2">
        <v>0</v>
      </c>
      <c r="O161" s="2">
        <v>1</v>
      </c>
      <c r="P161" s="2">
        <v>0</v>
      </c>
      <c r="Q161" s="2" t="s">
        <v>71</v>
      </c>
      <c r="R161" s="2">
        <v>1</v>
      </c>
      <c r="S161" s="2">
        <v>2</v>
      </c>
      <c r="T161" s="2">
        <v>0</v>
      </c>
      <c r="U161" s="2"/>
      <c r="V161" s="2"/>
      <c r="W161" s="2"/>
      <c r="X161" s="2"/>
      <c r="Y161" s="3" t="s">
        <v>858</v>
      </c>
      <c r="Z161" s="3" t="s">
        <v>859</v>
      </c>
      <c r="AA161" s="2">
        <f>IF(OR(D161="Monster", E161="Basic"), 0, ROUND((MIN(IFERROR(VLOOKUP(G161, Relic_Price_Config!$A$5:$E$9, 4, FALSE), 350), MAX(IFERROR(VLOOKUP(G161, Relic_Price_Config!$A$5:$E$9, 3, FALSE), 210), ROUND((IFERROR(VLOOKUP(H161, Relic_Price_Config!$G$5:$N$100, 4, FALSE), 280) + N(L161) * IF(N(O161)&gt;1, N(O161), 1) * IFERROR(VLOOKUP(H161, Relic_Price_Config!$G$5:$N$100, 5, FALSE), 10) + ABS(N(R161)) * IFERROR(VLOOKUP(H161, Relic_Price_Config!$G$5:$N$100, 6, FALSE), 15) + IF(N(S161)&gt;1, (N(S161)-1)*10, 0)) * IFERROR(VLOOKUP(G161, Relic_Price_Config!$A$5:$E$9, 2, FALSE), 1), 0))) * 0.1) / 5, 0) * 5)</f>
        <v>30</v>
      </c>
      <c r="AB161" s="2">
        <f t="shared" si="2"/>
        <v>20</v>
      </c>
    </row>
    <row r="162" spans="1:28" ht="24" customHeight="1">
      <c r="A162" s="5" t="s">
        <v>860</v>
      </c>
      <c r="B162" s="5" t="s">
        <v>861</v>
      </c>
      <c r="C162" s="9" t="s">
        <v>862</v>
      </c>
      <c r="D162" s="5" t="s">
        <v>92</v>
      </c>
      <c r="E162" s="2" t="s">
        <v>115</v>
      </c>
      <c r="F162" s="5" t="s">
        <v>33</v>
      </c>
      <c r="G162" s="5" t="s">
        <v>34</v>
      </c>
      <c r="H162" s="5" t="s">
        <v>863</v>
      </c>
      <c r="I162" s="5" t="s">
        <v>36</v>
      </c>
      <c r="J162" s="5">
        <v>0</v>
      </c>
      <c r="K162" s="5">
        <v>1</v>
      </c>
      <c r="L162" s="5">
        <v>6</v>
      </c>
      <c r="M162" s="5" t="s">
        <v>37</v>
      </c>
      <c r="N162" s="5">
        <v>1</v>
      </c>
      <c r="O162" s="5">
        <v>1</v>
      </c>
      <c r="P162" s="5">
        <v>0</v>
      </c>
      <c r="Q162" s="5" t="s">
        <v>101</v>
      </c>
      <c r="R162" s="5">
        <v>1</v>
      </c>
      <c r="S162" s="5">
        <v>2</v>
      </c>
      <c r="T162" s="5">
        <v>0</v>
      </c>
      <c r="U162" s="5"/>
      <c r="V162" s="5"/>
      <c r="W162" s="5"/>
      <c r="X162" s="5"/>
      <c r="Y162" s="6" t="s">
        <v>864</v>
      </c>
      <c r="Z162" s="6" t="s">
        <v>859</v>
      </c>
      <c r="AA162" s="5">
        <f>IF(OR(D162="Monster", E162="Basic"), 0, ROUND((MIN(IFERROR(VLOOKUP(G162, Relic_Price_Config!$A$5:$E$9, 4, FALSE), 350), MAX(IFERROR(VLOOKUP(G162, Relic_Price_Config!$A$5:$E$9, 3, FALSE), 210), ROUND((IFERROR(VLOOKUP(H162, Relic_Price_Config!$G$5:$N$100, 4, FALSE), 280) + N(L162) * IF(N(O162)&gt;1, N(O162), 1) * IFERROR(VLOOKUP(H162, Relic_Price_Config!$G$5:$N$100, 5, FALSE), 10) + ABS(N(R162)) * IFERROR(VLOOKUP(H162, Relic_Price_Config!$G$5:$N$100, 6, FALSE), 15) + IF(N(S162)&gt;1, (N(S162)-1)*10, 0)) * IFERROR(VLOOKUP(G162, Relic_Price_Config!$A$5:$E$9, 2, FALSE), 1), 0))) * 0.1) / 5, 0) * 5)</f>
        <v>35</v>
      </c>
      <c r="AB162" s="5">
        <f t="shared" si="2"/>
        <v>25</v>
      </c>
    </row>
    <row r="163" spans="1:28" ht="24" customHeight="1">
      <c r="A163" s="2" t="s">
        <v>865</v>
      </c>
      <c r="B163" s="2" t="s">
        <v>866</v>
      </c>
      <c r="C163" s="3" t="s">
        <v>867</v>
      </c>
      <c r="D163" s="2" t="s">
        <v>92</v>
      </c>
      <c r="E163" s="2" t="s">
        <v>115</v>
      </c>
      <c r="F163" s="2" t="s">
        <v>51</v>
      </c>
      <c r="G163" s="2" t="s">
        <v>34</v>
      </c>
      <c r="H163" s="2" t="s">
        <v>509</v>
      </c>
      <c r="I163" s="2" t="s">
        <v>45</v>
      </c>
      <c r="J163" s="2">
        <v>0</v>
      </c>
      <c r="K163" s="2">
        <v>1</v>
      </c>
      <c r="L163" s="2">
        <v>1</v>
      </c>
      <c r="M163" s="2"/>
      <c r="N163" s="2">
        <v>0</v>
      </c>
      <c r="O163" s="2">
        <v>1</v>
      </c>
      <c r="P163" s="2">
        <v>0</v>
      </c>
      <c r="Q163" s="2" t="s">
        <v>71</v>
      </c>
      <c r="R163" s="2">
        <v>1</v>
      </c>
      <c r="S163" s="2">
        <v>1</v>
      </c>
      <c r="T163" s="2">
        <v>0</v>
      </c>
      <c r="U163" s="2"/>
      <c r="V163" s="2"/>
      <c r="W163" s="2"/>
      <c r="X163" s="2"/>
      <c r="Y163" s="3" t="s">
        <v>868</v>
      </c>
      <c r="Z163" s="3" t="s">
        <v>859</v>
      </c>
      <c r="AA163" s="2">
        <f>IF(OR(D163="Monster", E163="Basic"), 0, ROUND((MIN(IFERROR(VLOOKUP(G163, Relic_Price_Config!$A$5:$E$9, 4, FALSE), 350), MAX(IFERROR(VLOOKUP(G163, Relic_Price_Config!$A$5:$E$9, 3, FALSE), 210), ROUND((IFERROR(VLOOKUP(H163, Relic_Price_Config!$G$5:$N$100, 4, FALSE), 280) + N(L163) * IF(N(O163)&gt;1, N(O163), 1) * IFERROR(VLOOKUP(H163, Relic_Price_Config!$G$5:$N$100, 5, FALSE), 10) + ABS(N(R163)) * IFERROR(VLOOKUP(H163, Relic_Price_Config!$G$5:$N$100, 6, FALSE), 15) + IF(N(S163)&gt;1, (N(S163)-1)*10, 0)) * IFERROR(VLOOKUP(G163, Relic_Price_Config!$A$5:$E$9, 2, FALSE), 1), 0))) * 0.1) / 5, 0) * 5)</f>
        <v>35</v>
      </c>
      <c r="AB163" s="2">
        <f t="shared" si="2"/>
        <v>25</v>
      </c>
    </row>
    <row r="164" spans="1:28" ht="24" customHeight="1">
      <c r="A164" s="5" t="s">
        <v>869</v>
      </c>
      <c r="B164" s="5" t="s">
        <v>870</v>
      </c>
      <c r="C164" s="9" t="s">
        <v>871</v>
      </c>
      <c r="D164" s="5" t="s">
        <v>92</v>
      </c>
      <c r="E164" s="2" t="s">
        <v>115</v>
      </c>
      <c r="F164" s="5" t="s">
        <v>43</v>
      </c>
      <c r="G164" s="5" t="s">
        <v>34</v>
      </c>
      <c r="H164" s="5" t="s">
        <v>52</v>
      </c>
      <c r="I164" s="5" t="s">
        <v>45</v>
      </c>
      <c r="J164" s="5">
        <v>0</v>
      </c>
      <c r="K164" s="5">
        <v>1</v>
      </c>
      <c r="L164" s="5">
        <v>5</v>
      </c>
      <c r="M164" s="5" t="s">
        <v>46</v>
      </c>
      <c r="N164" s="5">
        <v>1</v>
      </c>
      <c r="O164" s="5">
        <v>1</v>
      </c>
      <c r="P164" s="5">
        <v>3</v>
      </c>
      <c r="Q164" s="5" t="s">
        <v>53</v>
      </c>
      <c r="R164" s="5">
        <v>1</v>
      </c>
      <c r="S164" s="5">
        <v>1</v>
      </c>
      <c r="T164" s="5">
        <v>0</v>
      </c>
      <c r="U164" s="5"/>
      <c r="V164" s="5"/>
      <c r="W164" s="5"/>
      <c r="X164" s="5"/>
      <c r="Y164" s="6" t="s">
        <v>872</v>
      </c>
      <c r="Z164" s="6" t="s">
        <v>873</v>
      </c>
      <c r="AA164" s="5">
        <f>IF(OR(D164="Monster", E164="Basic"), 0, ROUND((MIN(IFERROR(VLOOKUP(G164, Relic_Price_Config!$A$5:$E$9, 4, FALSE), 350), MAX(IFERROR(VLOOKUP(G164, Relic_Price_Config!$A$5:$E$9, 3, FALSE), 210), ROUND((IFERROR(VLOOKUP(H164, Relic_Price_Config!$G$5:$N$100, 4, FALSE), 280) + N(L164) * IF(N(O164)&gt;1, N(O164), 1) * IFERROR(VLOOKUP(H164, Relic_Price_Config!$G$5:$N$100, 5, FALSE), 10) + ABS(N(R164)) * IFERROR(VLOOKUP(H164, Relic_Price_Config!$G$5:$N$100, 6, FALSE), 15) + IF(N(S164)&gt;1, (N(S164)-1)*10, 0)) * IFERROR(VLOOKUP(G164, Relic_Price_Config!$A$5:$E$9, 2, FALSE), 1), 0))) * 0.1) / 5, 0) * 5)</f>
        <v>30</v>
      </c>
      <c r="AB164" s="5">
        <f t="shared" si="2"/>
        <v>20</v>
      </c>
    </row>
    <row r="165" spans="1:28" ht="24" customHeight="1">
      <c r="A165" s="2" t="s">
        <v>874</v>
      </c>
      <c r="B165" s="2" t="s">
        <v>875</v>
      </c>
      <c r="C165" s="3" t="s">
        <v>876</v>
      </c>
      <c r="D165" s="2" t="s">
        <v>92</v>
      </c>
      <c r="E165" s="2" t="s">
        <v>115</v>
      </c>
      <c r="F165" s="2" t="s">
        <v>43</v>
      </c>
      <c r="G165" s="2" t="s">
        <v>34</v>
      </c>
      <c r="H165" s="2" t="s">
        <v>877</v>
      </c>
      <c r="I165" s="2" t="s">
        <v>45</v>
      </c>
      <c r="J165" s="2">
        <v>0</v>
      </c>
      <c r="K165" s="2">
        <v>1</v>
      </c>
      <c r="L165" s="2">
        <v>0</v>
      </c>
      <c r="M165" s="2" t="s">
        <v>46</v>
      </c>
      <c r="N165" s="2">
        <v>1</v>
      </c>
      <c r="O165" s="2">
        <v>1</v>
      </c>
      <c r="P165" s="2">
        <v>2</v>
      </c>
      <c r="Q165" s="2" t="s">
        <v>53</v>
      </c>
      <c r="R165" s="2">
        <v>1</v>
      </c>
      <c r="S165" s="2">
        <v>1</v>
      </c>
      <c r="T165" s="2">
        <v>0</v>
      </c>
      <c r="U165" s="2"/>
      <c r="V165" s="2"/>
      <c r="W165" s="2"/>
      <c r="X165" s="2"/>
      <c r="Y165" s="3" t="s">
        <v>878</v>
      </c>
      <c r="Z165" s="3" t="s">
        <v>879</v>
      </c>
      <c r="AA165" s="2">
        <f>IF(OR(D165="Monster", E165="Basic"), 0, ROUND((MIN(IFERROR(VLOOKUP(G165, Relic_Price_Config!$A$5:$E$9, 4, FALSE), 350), MAX(IFERROR(VLOOKUP(G165, Relic_Price_Config!$A$5:$E$9, 3, FALSE), 210), ROUND((IFERROR(VLOOKUP(H165, Relic_Price_Config!$G$5:$N$100, 4, FALSE), 280) + N(L165) * IF(N(O165)&gt;1, N(O165), 1) * IFERROR(VLOOKUP(H165, Relic_Price_Config!$G$5:$N$100, 5, FALSE), 10) + ABS(N(R165)) * IFERROR(VLOOKUP(H165, Relic_Price_Config!$G$5:$N$100, 6, FALSE), 15) + IF(N(S165)&gt;1, (N(S165)-1)*10, 0)) * IFERROR(VLOOKUP(G165, Relic_Price_Config!$A$5:$E$9, 2, FALSE), 1), 0))) * 0.1) / 5, 0) * 5)</f>
        <v>30</v>
      </c>
      <c r="AB165" s="2">
        <f t="shared" si="2"/>
        <v>20</v>
      </c>
    </row>
    <row r="166" spans="1:28" ht="24" customHeight="1">
      <c r="A166" s="5" t="s">
        <v>880</v>
      </c>
      <c r="B166" s="5" t="s">
        <v>881</v>
      </c>
      <c r="C166" s="9" t="s">
        <v>882</v>
      </c>
      <c r="D166" s="5" t="s">
        <v>92</v>
      </c>
      <c r="E166" s="2" t="s">
        <v>115</v>
      </c>
      <c r="F166" s="5" t="s">
        <v>51</v>
      </c>
      <c r="G166" s="5" t="s">
        <v>34</v>
      </c>
      <c r="H166" s="5" t="s">
        <v>883</v>
      </c>
      <c r="I166" s="5" t="s">
        <v>108</v>
      </c>
      <c r="J166" s="5">
        <v>0</v>
      </c>
      <c r="K166" s="5">
        <v>1</v>
      </c>
      <c r="L166" s="5">
        <v>0</v>
      </c>
      <c r="M166" s="5"/>
      <c r="N166" s="5">
        <v>0</v>
      </c>
      <c r="O166" s="5">
        <v>1</v>
      </c>
      <c r="P166" s="5">
        <v>0</v>
      </c>
      <c r="Q166" s="5" t="s">
        <v>413</v>
      </c>
      <c r="R166" s="5">
        <v>1</v>
      </c>
      <c r="S166" s="5">
        <v>2</v>
      </c>
      <c r="T166" s="5">
        <v>0</v>
      </c>
      <c r="U166" s="5"/>
      <c r="V166" s="5"/>
      <c r="W166" s="5"/>
      <c r="X166" s="5"/>
      <c r="Y166" s="6" t="s">
        <v>884</v>
      </c>
      <c r="Z166" s="6" t="s">
        <v>885</v>
      </c>
      <c r="AA166" s="5">
        <f>IF(OR(D166="Monster", E166="Basic"), 0, ROUND((MIN(IFERROR(VLOOKUP(G166, Relic_Price_Config!$A$5:$E$9, 4, FALSE), 350), MAX(IFERROR(VLOOKUP(G166, Relic_Price_Config!$A$5:$E$9, 3, FALSE), 210), ROUND((IFERROR(VLOOKUP(H166, Relic_Price_Config!$G$5:$N$100, 4, FALSE), 280) + N(L166) * IF(N(O166)&gt;1, N(O166), 1) * IFERROR(VLOOKUP(H166, Relic_Price_Config!$G$5:$N$100, 5, FALSE), 10) + ABS(N(R166)) * IFERROR(VLOOKUP(H166, Relic_Price_Config!$G$5:$N$100, 6, FALSE), 15) + IF(N(S166)&gt;1, (N(S166)-1)*10, 0)) * IFERROR(VLOOKUP(G166, Relic_Price_Config!$A$5:$E$9, 2, FALSE), 1), 0))) * 0.1) / 5, 0) * 5)</f>
        <v>30</v>
      </c>
      <c r="AB166" s="5">
        <f t="shared" si="2"/>
        <v>20</v>
      </c>
    </row>
    <row r="167" spans="1:28" ht="24" customHeight="1">
      <c r="A167" s="2" t="s">
        <v>886</v>
      </c>
      <c r="B167" s="2" t="s">
        <v>887</v>
      </c>
      <c r="C167" s="3" t="s">
        <v>888</v>
      </c>
      <c r="D167" s="2" t="s">
        <v>92</v>
      </c>
      <c r="E167" s="2" t="s">
        <v>115</v>
      </c>
      <c r="F167" s="2" t="s">
        <v>33</v>
      </c>
      <c r="G167" s="2" t="s">
        <v>34</v>
      </c>
      <c r="H167" s="2" t="s">
        <v>179</v>
      </c>
      <c r="I167" s="2" t="s">
        <v>36</v>
      </c>
      <c r="J167" s="2">
        <v>0</v>
      </c>
      <c r="K167" s="2">
        <v>1</v>
      </c>
      <c r="L167" s="2">
        <v>6</v>
      </c>
      <c r="M167" s="2" t="s">
        <v>37</v>
      </c>
      <c r="N167" s="2">
        <v>1</v>
      </c>
      <c r="O167" s="2">
        <v>1</v>
      </c>
      <c r="P167" s="2">
        <v>0</v>
      </c>
      <c r="Q167" s="2" t="s">
        <v>180</v>
      </c>
      <c r="R167" s="2">
        <v>2</v>
      </c>
      <c r="S167" s="2">
        <v>1</v>
      </c>
      <c r="T167" s="2">
        <v>0</v>
      </c>
      <c r="U167" s="2"/>
      <c r="V167" s="2"/>
      <c r="W167" s="2"/>
      <c r="X167" s="2"/>
      <c r="Y167" s="3" t="s">
        <v>889</v>
      </c>
      <c r="Z167" s="3" t="s">
        <v>890</v>
      </c>
      <c r="AA167" s="2">
        <f>IF(OR(D167="Monster", E167="Basic"), 0, ROUND((MIN(IFERROR(VLOOKUP(G167, Relic_Price_Config!$A$5:$E$9, 4, FALSE), 350), MAX(IFERROR(VLOOKUP(G167, Relic_Price_Config!$A$5:$E$9, 3, FALSE), 210), ROUND((IFERROR(VLOOKUP(H167, Relic_Price_Config!$G$5:$N$100, 4, FALSE), 280) + N(L167) * IF(N(O167)&gt;1, N(O167), 1) * IFERROR(VLOOKUP(H167, Relic_Price_Config!$G$5:$N$100, 5, FALSE), 10) + ABS(N(R167)) * IFERROR(VLOOKUP(H167, Relic_Price_Config!$G$5:$N$100, 6, FALSE), 15) + IF(N(S167)&gt;1, (N(S167)-1)*10, 0)) * IFERROR(VLOOKUP(G167, Relic_Price_Config!$A$5:$E$9, 2, FALSE), 1), 0))) * 0.1) / 5, 0) * 5)</f>
        <v>35</v>
      </c>
      <c r="AB167" s="2">
        <f t="shared" si="2"/>
        <v>25</v>
      </c>
    </row>
    <row r="168" spans="1:28" ht="24" customHeight="1">
      <c r="A168" s="5" t="s">
        <v>891</v>
      </c>
      <c r="B168" s="5" t="s">
        <v>892</v>
      </c>
      <c r="C168" s="9" t="s">
        <v>893</v>
      </c>
      <c r="D168" s="5" t="s">
        <v>92</v>
      </c>
      <c r="E168" s="2" t="s">
        <v>115</v>
      </c>
      <c r="F168" s="5" t="s">
        <v>33</v>
      </c>
      <c r="G168" s="5" t="s">
        <v>34</v>
      </c>
      <c r="H168" s="5" t="s">
        <v>152</v>
      </c>
      <c r="I168" s="5" t="s">
        <v>36</v>
      </c>
      <c r="J168" s="5">
        <v>0</v>
      </c>
      <c r="K168" s="5">
        <v>1</v>
      </c>
      <c r="L168" s="5">
        <v>5</v>
      </c>
      <c r="M168" s="5" t="s">
        <v>37</v>
      </c>
      <c r="N168" s="5">
        <v>1</v>
      </c>
      <c r="O168" s="5">
        <v>1</v>
      </c>
      <c r="P168" s="5">
        <v>3</v>
      </c>
      <c r="Q168" s="5"/>
      <c r="R168" s="5">
        <v>0</v>
      </c>
      <c r="S168" s="5">
        <v>0</v>
      </c>
      <c r="T168" s="5">
        <v>0</v>
      </c>
      <c r="U168" s="5"/>
      <c r="V168" s="5"/>
      <c r="W168" s="5"/>
      <c r="X168" s="5"/>
      <c r="Y168" s="6" t="s">
        <v>894</v>
      </c>
      <c r="Z168" s="6" t="s">
        <v>895</v>
      </c>
      <c r="AA168" s="5">
        <f>IF(OR(D168="Monster", E168="Basic"), 0, ROUND((MIN(IFERROR(VLOOKUP(G168, Relic_Price_Config!$A$5:$E$9, 4, FALSE), 350), MAX(IFERROR(VLOOKUP(G168, Relic_Price_Config!$A$5:$E$9, 3, FALSE), 210), ROUND((IFERROR(VLOOKUP(H168, Relic_Price_Config!$G$5:$N$100, 4, FALSE), 280) + N(L168) * IF(N(O168)&gt;1, N(O168), 1) * IFERROR(VLOOKUP(H168, Relic_Price_Config!$G$5:$N$100, 5, FALSE), 10) + ABS(N(R168)) * IFERROR(VLOOKUP(H168, Relic_Price_Config!$G$5:$N$100, 6, FALSE), 15) + IF(N(S168)&gt;1, (N(S168)-1)*10, 0)) * IFERROR(VLOOKUP(G168, Relic_Price_Config!$A$5:$E$9, 2, FALSE), 1), 0))) * 0.1) / 5, 0) * 5)</f>
        <v>30</v>
      </c>
      <c r="AB168" s="5">
        <f t="shared" si="2"/>
        <v>20</v>
      </c>
    </row>
    <row r="169" spans="1:28" ht="24" customHeight="1">
      <c r="A169" s="2" t="s">
        <v>896</v>
      </c>
      <c r="B169" s="2" t="s">
        <v>897</v>
      </c>
      <c r="C169" s="3" t="s">
        <v>898</v>
      </c>
      <c r="D169" s="2" t="s">
        <v>92</v>
      </c>
      <c r="E169" s="2" t="s">
        <v>115</v>
      </c>
      <c r="F169" s="2" t="s">
        <v>33</v>
      </c>
      <c r="G169" s="2" t="s">
        <v>34</v>
      </c>
      <c r="H169" s="2" t="s">
        <v>899</v>
      </c>
      <c r="I169" s="2" t="s">
        <v>108</v>
      </c>
      <c r="J169" s="2">
        <v>0</v>
      </c>
      <c r="K169" s="2">
        <v>1</v>
      </c>
      <c r="L169" s="2">
        <v>4</v>
      </c>
      <c r="M169" s="2" t="s">
        <v>37</v>
      </c>
      <c r="N169" s="2">
        <v>1</v>
      </c>
      <c r="O169" s="2">
        <v>1</v>
      </c>
      <c r="P169" s="2">
        <v>0</v>
      </c>
      <c r="Q169" s="2" t="s">
        <v>900</v>
      </c>
      <c r="R169" s="2">
        <v>1</v>
      </c>
      <c r="S169" s="2">
        <v>1</v>
      </c>
      <c r="T169" s="2">
        <v>0</v>
      </c>
      <c r="U169" s="2"/>
      <c r="V169" s="2"/>
      <c r="W169" s="2"/>
      <c r="X169" s="2"/>
      <c r="Y169" s="3" t="s">
        <v>901</v>
      </c>
      <c r="Z169" s="3" t="s">
        <v>890</v>
      </c>
      <c r="AA169" s="2">
        <f>IF(OR(D169="Monster", E169="Basic"), 0, ROUND((MIN(IFERROR(VLOOKUP(G169, Relic_Price_Config!$A$5:$E$9, 4, FALSE), 350), MAX(IFERROR(VLOOKUP(G169, Relic_Price_Config!$A$5:$E$9, 3, FALSE), 210), ROUND((IFERROR(VLOOKUP(H169, Relic_Price_Config!$G$5:$N$100, 4, FALSE), 280) + N(L169) * IF(N(O169)&gt;1, N(O169), 1) * IFERROR(VLOOKUP(H169, Relic_Price_Config!$G$5:$N$100, 5, FALSE), 10) + ABS(N(R169)) * IFERROR(VLOOKUP(H169, Relic_Price_Config!$G$5:$N$100, 6, FALSE), 15) + IF(N(S169)&gt;1, (N(S169)-1)*10, 0)) * IFERROR(VLOOKUP(G169, Relic_Price_Config!$A$5:$E$9, 2, FALSE), 1), 0))) * 0.1) / 5, 0) * 5)</f>
        <v>30</v>
      </c>
      <c r="AB169" s="2">
        <f t="shared" si="2"/>
        <v>20</v>
      </c>
    </row>
    <row r="170" spans="1:28" ht="24" customHeight="1">
      <c r="A170" s="5" t="s">
        <v>902</v>
      </c>
      <c r="B170" s="5" t="s">
        <v>903</v>
      </c>
      <c r="C170" s="9" t="s">
        <v>904</v>
      </c>
      <c r="D170" s="5" t="s">
        <v>92</v>
      </c>
      <c r="E170" s="2" t="s">
        <v>115</v>
      </c>
      <c r="F170" s="5" t="s">
        <v>33</v>
      </c>
      <c r="G170" s="5" t="s">
        <v>208</v>
      </c>
      <c r="H170" s="5" t="s">
        <v>35</v>
      </c>
      <c r="I170" s="5" t="s">
        <v>36</v>
      </c>
      <c r="J170" s="5">
        <v>0</v>
      </c>
      <c r="K170" s="5">
        <v>1</v>
      </c>
      <c r="L170" s="5">
        <v>5</v>
      </c>
      <c r="M170" s="5" t="s">
        <v>37</v>
      </c>
      <c r="N170" s="5">
        <v>1</v>
      </c>
      <c r="O170" s="5">
        <v>3</v>
      </c>
      <c r="P170" s="5">
        <v>0</v>
      </c>
      <c r="Q170" s="5"/>
      <c r="R170" s="5">
        <v>0</v>
      </c>
      <c r="S170" s="5">
        <v>0</v>
      </c>
      <c r="T170" s="5">
        <v>0</v>
      </c>
      <c r="U170" s="5"/>
      <c r="V170" s="5"/>
      <c r="W170" s="5"/>
      <c r="X170" s="5"/>
      <c r="Y170" s="6" t="s">
        <v>905</v>
      </c>
      <c r="Z170" s="6" t="s">
        <v>906</v>
      </c>
      <c r="AA170" s="5">
        <f>IF(OR(D170="Monster", E170="Basic"), 0, ROUND((MIN(IFERROR(VLOOKUP(G170, Relic_Price_Config!$A$5:$E$9, 4, FALSE), 350), MAX(IFERROR(VLOOKUP(G170, Relic_Price_Config!$A$5:$E$9, 3, FALSE), 210), ROUND((IFERROR(VLOOKUP(H170, Relic_Price_Config!$G$5:$N$100, 4, FALSE), 280) + N(L170) * IF(N(O170)&gt;1, N(O170), 1) * IFERROR(VLOOKUP(H170, Relic_Price_Config!$G$5:$N$100, 5, FALSE), 10) + ABS(N(R170)) * IFERROR(VLOOKUP(H170, Relic_Price_Config!$G$5:$N$100, 6, FALSE), 15) + IF(N(S170)&gt;1, (N(S170)-1)*10, 0)) * IFERROR(VLOOKUP(G170, Relic_Price_Config!$A$5:$E$9, 2, FALSE), 1), 0))) * 0.1) / 5, 0) * 5)</f>
        <v>50</v>
      </c>
      <c r="AB170" s="5">
        <f t="shared" si="2"/>
        <v>35</v>
      </c>
    </row>
    <row r="171" spans="1:28" ht="27.6" customHeight="1">
      <c r="A171" s="2" t="s">
        <v>907</v>
      </c>
      <c r="B171" s="2" t="s">
        <v>908</v>
      </c>
      <c r="C171" s="3" t="s">
        <v>909</v>
      </c>
      <c r="D171" s="2" t="s">
        <v>92</v>
      </c>
      <c r="E171" s="2" t="s">
        <v>115</v>
      </c>
      <c r="F171" s="2" t="s">
        <v>33</v>
      </c>
      <c r="G171" s="2" t="s">
        <v>208</v>
      </c>
      <c r="H171" s="2" t="s">
        <v>833</v>
      </c>
      <c r="I171" s="2" t="s">
        <v>36</v>
      </c>
      <c r="J171" s="2">
        <v>0</v>
      </c>
      <c r="K171" s="2">
        <v>1</v>
      </c>
      <c r="L171" s="2">
        <v>6</v>
      </c>
      <c r="M171" s="2" t="s">
        <v>37</v>
      </c>
      <c r="N171" s="2">
        <v>1</v>
      </c>
      <c r="O171" s="2">
        <v>2</v>
      </c>
      <c r="P171" s="2">
        <v>0</v>
      </c>
      <c r="Q171" s="2" t="s">
        <v>94</v>
      </c>
      <c r="R171" s="2">
        <v>1</v>
      </c>
      <c r="S171" s="2">
        <v>2</v>
      </c>
      <c r="T171" s="2">
        <v>0</v>
      </c>
      <c r="U171" s="2"/>
      <c r="V171" s="2"/>
      <c r="W171" s="2"/>
      <c r="X171" s="2"/>
      <c r="Y171" s="3" t="s">
        <v>910</v>
      </c>
      <c r="Z171" s="3" t="s">
        <v>906</v>
      </c>
      <c r="AA171" s="2">
        <f>IF(OR(D171="Monster", E171="Basic"), 0, ROUND((MIN(IFERROR(VLOOKUP(G171, Relic_Price_Config!$A$5:$E$9, 4, FALSE), 350), MAX(IFERROR(VLOOKUP(G171, Relic_Price_Config!$A$5:$E$9, 3, FALSE), 210), ROUND((IFERROR(VLOOKUP(H171, Relic_Price_Config!$G$5:$N$100, 4, FALSE), 280) + N(L171) * IF(N(O171)&gt;1, N(O171), 1) * IFERROR(VLOOKUP(H171, Relic_Price_Config!$G$5:$N$100, 5, FALSE), 10) + ABS(N(R171)) * IFERROR(VLOOKUP(H171, Relic_Price_Config!$G$5:$N$100, 6, FALSE), 15) + IF(N(S171)&gt;1, (N(S171)-1)*10, 0)) * IFERROR(VLOOKUP(G171, Relic_Price_Config!$A$5:$E$9, 2, FALSE), 1), 0))) * 0.1) / 5, 0) * 5)</f>
        <v>55</v>
      </c>
      <c r="AB171" s="2">
        <f t="shared" si="2"/>
        <v>40</v>
      </c>
    </row>
    <row r="172" spans="1:28" ht="24" customHeight="1">
      <c r="A172" s="5" t="s">
        <v>911</v>
      </c>
      <c r="B172" s="5" t="s">
        <v>912</v>
      </c>
      <c r="C172" s="9" t="s">
        <v>913</v>
      </c>
      <c r="D172" s="5" t="s">
        <v>92</v>
      </c>
      <c r="E172" s="2" t="s">
        <v>115</v>
      </c>
      <c r="F172" s="5" t="s">
        <v>33</v>
      </c>
      <c r="G172" s="5" t="s">
        <v>208</v>
      </c>
      <c r="H172" s="5" t="s">
        <v>174</v>
      </c>
      <c r="I172" s="5" t="s">
        <v>108</v>
      </c>
      <c r="J172" s="5">
        <v>0</v>
      </c>
      <c r="K172" s="5">
        <v>1</v>
      </c>
      <c r="L172" s="5">
        <v>4</v>
      </c>
      <c r="M172" s="5" t="s">
        <v>37</v>
      </c>
      <c r="N172" s="5">
        <v>1</v>
      </c>
      <c r="O172" s="5">
        <v>3</v>
      </c>
      <c r="P172" s="5">
        <v>0</v>
      </c>
      <c r="Q172" s="5"/>
      <c r="R172" s="5">
        <v>0</v>
      </c>
      <c r="S172" s="5">
        <v>0</v>
      </c>
      <c r="T172" s="5">
        <v>0</v>
      </c>
      <c r="U172" s="5"/>
      <c r="V172" s="5"/>
      <c r="W172" s="5"/>
      <c r="X172" s="5"/>
      <c r="Y172" s="6" t="s">
        <v>914</v>
      </c>
      <c r="Z172" s="6" t="s">
        <v>906</v>
      </c>
      <c r="AA172" s="5">
        <f>IF(OR(D172="Monster", E172="Basic"), 0, ROUND((MIN(IFERROR(VLOOKUP(G172, Relic_Price_Config!$A$5:$E$9, 4, FALSE), 350), MAX(IFERROR(VLOOKUP(G172, Relic_Price_Config!$A$5:$E$9, 3, FALSE), 210), ROUND((IFERROR(VLOOKUP(H172, Relic_Price_Config!$G$5:$N$100, 4, FALSE), 280) + N(L172) * IF(N(O172)&gt;1, N(O172), 1) * IFERROR(VLOOKUP(H172, Relic_Price_Config!$G$5:$N$100, 5, FALSE), 10) + ABS(N(R172)) * IFERROR(VLOOKUP(H172, Relic_Price_Config!$G$5:$N$100, 6, FALSE), 15) + IF(N(S172)&gt;1, (N(S172)-1)*10, 0)) * IFERROR(VLOOKUP(G172, Relic_Price_Config!$A$5:$E$9, 2, FALSE), 1), 0))) * 0.1) / 5, 0) * 5)</f>
        <v>50</v>
      </c>
      <c r="AB172" s="5">
        <f t="shared" si="2"/>
        <v>35</v>
      </c>
    </row>
    <row r="173" spans="1:28" ht="24" customHeight="1">
      <c r="A173" s="2" t="s">
        <v>915</v>
      </c>
      <c r="B173" s="2" t="s">
        <v>916</v>
      </c>
      <c r="C173" s="3" t="s">
        <v>917</v>
      </c>
      <c r="D173" s="2" t="s">
        <v>92</v>
      </c>
      <c r="E173" s="2" t="s">
        <v>115</v>
      </c>
      <c r="F173" s="2" t="s">
        <v>33</v>
      </c>
      <c r="G173" s="2" t="s">
        <v>208</v>
      </c>
      <c r="H173" s="2" t="s">
        <v>842</v>
      </c>
      <c r="I173" s="2" t="s">
        <v>36</v>
      </c>
      <c r="J173" s="2">
        <v>0</v>
      </c>
      <c r="K173" s="2">
        <v>1</v>
      </c>
      <c r="L173" s="2">
        <v>10</v>
      </c>
      <c r="M173" s="2" t="s">
        <v>37</v>
      </c>
      <c r="N173" s="2">
        <v>1</v>
      </c>
      <c r="O173" s="2">
        <v>1</v>
      </c>
      <c r="P173" s="2">
        <v>0</v>
      </c>
      <c r="Q173" s="2" t="s">
        <v>109</v>
      </c>
      <c r="R173" s="2">
        <v>5</v>
      </c>
      <c r="S173" s="2">
        <v>3</v>
      </c>
      <c r="T173" s="2">
        <v>0</v>
      </c>
      <c r="U173" s="2"/>
      <c r="V173" s="2"/>
      <c r="W173" s="2"/>
      <c r="X173" s="2"/>
      <c r="Y173" s="3" t="s">
        <v>918</v>
      </c>
      <c r="Z173" s="3" t="s">
        <v>919</v>
      </c>
      <c r="AA173" s="2">
        <f>IF(OR(D173="Monster", E173="Basic"), 0, ROUND((MIN(IFERROR(VLOOKUP(G173, Relic_Price_Config!$A$5:$E$9, 4, FALSE), 350), MAX(IFERROR(VLOOKUP(G173, Relic_Price_Config!$A$5:$E$9, 3, FALSE), 210), ROUND((IFERROR(VLOOKUP(H173, Relic_Price_Config!$G$5:$N$100, 4, FALSE), 280) + N(L173) * IF(N(O173)&gt;1, N(O173), 1) * IFERROR(VLOOKUP(H173, Relic_Price_Config!$G$5:$N$100, 5, FALSE), 10) + ABS(N(R173)) * IFERROR(VLOOKUP(H173, Relic_Price_Config!$G$5:$N$100, 6, FALSE), 15) + IF(N(S173)&gt;1, (N(S173)-1)*10, 0)) * IFERROR(VLOOKUP(G173, Relic_Price_Config!$A$5:$E$9, 2, FALSE), 1), 0))) * 0.1) / 5, 0) * 5)</f>
        <v>55</v>
      </c>
      <c r="AB173" s="2">
        <f t="shared" si="2"/>
        <v>40</v>
      </c>
    </row>
    <row r="174" spans="1:28" ht="24" customHeight="1">
      <c r="A174" s="5" t="s">
        <v>920</v>
      </c>
      <c r="B174" s="5" t="s">
        <v>921</v>
      </c>
      <c r="C174" s="9" t="s">
        <v>922</v>
      </c>
      <c r="D174" s="5" t="s">
        <v>92</v>
      </c>
      <c r="E174" s="2" t="s">
        <v>115</v>
      </c>
      <c r="F174" s="5" t="s">
        <v>33</v>
      </c>
      <c r="G174" s="5" t="s">
        <v>208</v>
      </c>
      <c r="H174" s="5" t="s">
        <v>489</v>
      </c>
      <c r="I174" s="5" t="s">
        <v>108</v>
      </c>
      <c r="J174" s="5">
        <v>0</v>
      </c>
      <c r="K174" s="5">
        <v>1</v>
      </c>
      <c r="L174" s="5">
        <v>8</v>
      </c>
      <c r="M174" s="5" t="s">
        <v>37</v>
      </c>
      <c r="N174" s="5">
        <v>1</v>
      </c>
      <c r="O174" s="5">
        <v>1</v>
      </c>
      <c r="P174" s="5">
        <v>0</v>
      </c>
      <c r="Q174" s="5" t="s">
        <v>109</v>
      </c>
      <c r="R174" s="5">
        <v>4</v>
      </c>
      <c r="S174" s="5">
        <v>3</v>
      </c>
      <c r="T174" s="5">
        <v>0</v>
      </c>
      <c r="U174" s="5"/>
      <c r="V174" s="5"/>
      <c r="W174" s="5"/>
      <c r="X174" s="5"/>
      <c r="Y174" s="6" t="s">
        <v>923</v>
      </c>
      <c r="Z174" s="6" t="s">
        <v>919</v>
      </c>
      <c r="AA174" s="5">
        <f>IF(OR(D174="Monster", E174="Basic"), 0, ROUND((MIN(IFERROR(VLOOKUP(G174, Relic_Price_Config!$A$5:$E$9, 4, FALSE), 350), MAX(IFERROR(VLOOKUP(G174, Relic_Price_Config!$A$5:$E$9, 3, FALSE), 210), ROUND((IFERROR(VLOOKUP(H174, Relic_Price_Config!$G$5:$N$100, 4, FALSE), 280) + N(L174) * IF(N(O174)&gt;1, N(O174), 1) * IFERROR(VLOOKUP(H174, Relic_Price_Config!$G$5:$N$100, 5, FALSE), 10) + ABS(N(R174)) * IFERROR(VLOOKUP(H174, Relic_Price_Config!$G$5:$N$100, 6, FALSE), 15) + IF(N(S174)&gt;1, (N(S174)-1)*10, 0)) * IFERROR(VLOOKUP(G174, Relic_Price_Config!$A$5:$E$9, 2, FALSE), 1), 0))) * 0.1) / 5, 0) * 5)</f>
        <v>55</v>
      </c>
      <c r="AB174" s="5">
        <f t="shared" si="2"/>
        <v>40</v>
      </c>
    </row>
    <row r="175" spans="1:28" ht="24" customHeight="1">
      <c r="A175" s="2" t="s">
        <v>924</v>
      </c>
      <c r="B175" s="2" t="s">
        <v>925</v>
      </c>
      <c r="C175" s="3" t="s">
        <v>926</v>
      </c>
      <c r="D175" s="2" t="s">
        <v>92</v>
      </c>
      <c r="E175" s="2" t="s">
        <v>115</v>
      </c>
      <c r="F175" s="2" t="s">
        <v>33</v>
      </c>
      <c r="G175" s="2" t="s">
        <v>208</v>
      </c>
      <c r="H175" s="2" t="s">
        <v>927</v>
      </c>
      <c r="I175" s="2" t="s">
        <v>36</v>
      </c>
      <c r="J175" s="2">
        <v>0</v>
      </c>
      <c r="K175" s="2">
        <v>1</v>
      </c>
      <c r="L175" s="2">
        <v>9</v>
      </c>
      <c r="M175" s="2" t="s">
        <v>37</v>
      </c>
      <c r="N175" s="2">
        <v>1</v>
      </c>
      <c r="O175" s="2">
        <v>1</v>
      </c>
      <c r="P175" s="2">
        <v>4</v>
      </c>
      <c r="Q175" s="2" t="s">
        <v>109</v>
      </c>
      <c r="R175" s="2">
        <v>3</v>
      </c>
      <c r="S175" s="2">
        <v>2</v>
      </c>
      <c r="T175" s="2">
        <v>0</v>
      </c>
      <c r="U175" s="2"/>
      <c r="V175" s="2"/>
      <c r="W175" s="2"/>
      <c r="X175" s="2"/>
      <c r="Y175" s="3" t="s">
        <v>928</v>
      </c>
      <c r="Z175" s="3" t="s">
        <v>929</v>
      </c>
      <c r="AA175" s="2">
        <f>IF(OR(D175="Monster", E175="Basic"), 0, ROUND((MIN(IFERROR(VLOOKUP(G175, Relic_Price_Config!$A$5:$E$9, 4, FALSE), 350), MAX(IFERROR(VLOOKUP(G175, Relic_Price_Config!$A$5:$E$9, 3, FALSE), 210), ROUND((IFERROR(VLOOKUP(H175, Relic_Price_Config!$G$5:$N$100, 4, FALSE), 280) + N(L175) * IF(N(O175)&gt;1, N(O175), 1) * IFERROR(VLOOKUP(H175, Relic_Price_Config!$G$5:$N$100, 5, FALSE), 10) + ABS(N(R175)) * IFERROR(VLOOKUP(H175, Relic_Price_Config!$G$5:$N$100, 6, FALSE), 15) + IF(N(S175)&gt;1, (N(S175)-1)*10, 0)) * IFERROR(VLOOKUP(G175, Relic_Price_Config!$A$5:$E$9, 2, FALSE), 1), 0))) * 0.1) / 5, 0) * 5)</f>
        <v>55</v>
      </c>
      <c r="AB175" s="2">
        <f t="shared" si="2"/>
        <v>40</v>
      </c>
    </row>
    <row r="176" spans="1:28" ht="24" customHeight="1">
      <c r="A176" s="5" t="s">
        <v>930</v>
      </c>
      <c r="B176" s="5" t="s">
        <v>931</v>
      </c>
      <c r="C176" s="9" t="s">
        <v>932</v>
      </c>
      <c r="D176" s="5" t="s">
        <v>92</v>
      </c>
      <c r="E176" s="2" t="s">
        <v>115</v>
      </c>
      <c r="F176" s="5" t="s">
        <v>51</v>
      </c>
      <c r="G176" s="5" t="s">
        <v>208</v>
      </c>
      <c r="H176" s="5" t="s">
        <v>857</v>
      </c>
      <c r="I176" s="5" t="s">
        <v>45</v>
      </c>
      <c r="J176" s="5">
        <v>0</v>
      </c>
      <c r="K176" s="5">
        <v>1</v>
      </c>
      <c r="L176" s="5">
        <v>0</v>
      </c>
      <c r="M176" s="5"/>
      <c r="N176" s="5">
        <v>0</v>
      </c>
      <c r="O176" s="5">
        <v>1</v>
      </c>
      <c r="P176" s="5">
        <v>0</v>
      </c>
      <c r="Q176" s="5" t="s">
        <v>71</v>
      </c>
      <c r="R176" s="5">
        <v>2</v>
      </c>
      <c r="S176" s="5">
        <v>2</v>
      </c>
      <c r="T176" s="5">
        <v>0</v>
      </c>
      <c r="U176" s="5"/>
      <c r="V176" s="5"/>
      <c r="W176" s="5"/>
      <c r="X176" s="5"/>
      <c r="Y176" s="6" t="s">
        <v>933</v>
      </c>
      <c r="Z176" s="6" t="s">
        <v>934</v>
      </c>
      <c r="AA176" s="5">
        <f>IF(OR(D176="Monster", E176="Basic"), 0, ROUND((MIN(IFERROR(VLOOKUP(G176, Relic_Price_Config!$A$5:$E$9, 4, FALSE), 350), MAX(IFERROR(VLOOKUP(G176, Relic_Price_Config!$A$5:$E$9, 3, FALSE), 210), ROUND((IFERROR(VLOOKUP(H176, Relic_Price_Config!$G$5:$N$100, 4, FALSE), 280) + N(L176) * IF(N(O176)&gt;1, N(O176), 1) * IFERROR(VLOOKUP(H176, Relic_Price_Config!$G$5:$N$100, 5, FALSE), 10) + ABS(N(R176)) * IFERROR(VLOOKUP(H176, Relic_Price_Config!$G$5:$N$100, 6, FALSE), 15) + IF(N(S176)&gt;1, (N(S176)-1)*10, 0)) * IFERROR(VLOOKUP(G176, Relic_Price_Config!$A$5:$E$9, 2, FALSE), 1), 0))) * 0.1) / 5, 0) * 5)</f>
        <v>50</v>
      </c>
      <c r="AB176" s="5">
        <f t="shared" si="2"/>
        <v>35</v>
      </c>
    </row>
    <row r="177" spans="1:28" ht="24" customHeight="1">
      <c r="A177" s="2" t="s">
        <v>935</v>
      </c>
      <c r="B177" s="2" t="s">
        <v>936</v>
      </c>
      <c r="C177" s="3" t="s">
        <v>937</v>
      </c>
      <c r="D177" s="2" t="s">
        <v>92</v>
      </c>
      <c r="E177" s="2" t="s">
        <v>115</v>
      </c>
      <c r="F177" s="2" t="s">
        <v>33</v>
      </c>
      <c r="G177" s="2" t="s">
        <v>208</v>
      </c>
      <c r="H177" s="2" t="s">
        <v>863</v>
      </c>
      <c r="I177" s="2" t="s">
        <v>36</v>
      </c>
      <c r="J177" s="2">
        <v>0</v>
      </c>
      <c r="K177" s="2">
        <v>1</v>
      </c>
      <c r="L177" s="2">
        <v>12</v>
      </c>
      <c r="M177" s="2" t="s">
        <v>37</v>
      </c>
      <c r="N177" s="2">
        <v>1</v>
      </c>
      <c r="O177" s="2">
        <v>1</v>
      </c>
      <c r="P177" s="2">
        <v>0</v>
      </c>
      <c r="Q177" s="2" t="s">
        <v>101</v>
      </c>
      <c r="R177" s="2">
        <v>2</v>
      </c>
      <c r="S177" s="2">
        <v>2</v>
      </c>
      <c r="T177" s="2">
        <v>0</v>
      </c>
      <c r="U177" s="2"/>
      <c r="V177" s="2"/>
      <c r="W177" s="2"/>
      <c r="X177" s="2"/>
      <c r="Y177" s="3" t="s">
        <v>938</v>
      </c>
      <c r="Z177" s="3" t="s">
        <v>934</v>
      </c>
      <c r="AA177" s="2">
        <f>IF(OR(D177="Monster", E177="Basic"), 0, ROUND((MIN(IFERROR(VLOOKUP(G177, Relic_Price_Config!$A$5:$E$9, 4, FALSE), 350), MAX(IFERROR(VLOOKUP(G177, Relic_Price_Config!$A$5:$E$9, 3, FALSE), 210), ROUND((IFERROR(VLOOKUP(H177, Relic_Price_Config!$G$5:$N$100, 4, FALSE), 280) + N(L177) * IF(N(O177)&gt;1, N(O177), 1) * IFERROR(VLOOKUP(H177, Relic_Price_Config!$G$5:$N$100, 5, FALSE), 10) + ABS(N(R177)) * IFERROR(VLOOKUP(H177, Relic_Price_Config!$G$5:$N$100, 6, FALSE), 15) + IF(N(S177)&gt;1, (N(S177)-1)*10, 0)) * IFERROR(VLOOKUP(G177, Relic_Price_Config!$A$5:$E$9, 2, FALSE), 1), 0))) * 0.1) / 5, 0) * 5)</f>
        <v>55</v>
      </c>
      <c r="AB177" s="2">
        <f t="shared" si="2"/>
        <v>40</v>
      </c>
    </row>
    <row r="178" spans="1:28" ht="24" customHeight="1">
      <c r="A178" s="5" t="s">
        <v>939</v>
      </c>
      <c r="B178" s="5" t="s">
        <v>940</v>
      </c>
      <c r="C178" s="9" t="s">
        <v>941</v>
      </c>
      <c r="D178" s="5" t="s">
        <v>92</v>
      </c>
      <c r="E178" s="2" t="s">
        <v>115</v>
      </c>
      <c r="F178" s="5" t="s">
        <v>43</v>
      </c>
      <c r="G178" s="5" t="s">
        <v>208</v>
      </c>
      <c r="H178" s="5" t="s">
        <v>214</v>
      </c>
      <c r="I178" s="5" t="s">
        <v>45</v>
      </c>
      <c r="J178" s="5">
        <v>0</v>
      </c>
      <c r="K178" s="5">
        <v>1</v>
      </c>
      <c r="L178" s="5">
        <v>9</v>
      </c>
      <c r="M178" s="5" t="s">
        <v>46</v>
      </c>
      <c r="N178" s="5">
        <v>1</v>
      </c>
      <c r="O178" s="5">
        <v>1</v>
      </c>
      <c r="P178" s="5">
        <v>0</v>
      </c>
      <c r="Q178" s="5" t="s">
        <v>101</v>
      </c>
      <c r="R178" s="5">
        <v>2</v>
      </c>
      <c r="S178" s="5">
        <v>2</v>
      </c>
      <c r="T178" s="5">
        <v>0</v>
      </c>
      <c r="U178" s="5"/>
      <c r="V178" s="5"/>
      <c r="W178" s="5"/>
      <c r="X178" s="5"/>
      <c r="Y178" s="6" t="s">
        <v>942</v>
      </c>
      <c r="Z178" s="6" t="s">
        <v>934</v>
      </c>
      <c r="AA178" s="5">
        <f>IF(OR(D178="Monster", E178="Basic"), 0, ROUND((MIN(IFERROR(VLOOKUP(G178, Relic_Price_Config!$A$5:$E$9, 4, FALSE), 350), MAX(IFERROR(VLOOKUP(G178, Relic_Price_Config!$A$5:$E$9, 3, FALSE), 210), ROUND((IFERROR(VLOOKUP(H178, Relic_Price_Config!$G$5:$N$100, 4, FALSE), 280) + N(L178) * IF(N(O178)&gt;1, N(O178), 1) * IFERROR(VLOOKUP(H178, Relic_Price_Config!$G$5:$N$100, 5, FALSE), 10) + ABS(N(R178)) * IFERROR(VLOOKUP(H178, Relic_Price_Config!$G$5:$N$100, 6, FALSE), 15) + IF(N(S178)&gt;1, (N(S178)-1)*10, 0)) * IFERROR(VLOOKUP(G178, Relic_Price_Config!$A$5:$E$9, 2, FALSE), 1), 0))) * 0.1) / 5, 0) * 5)</f>
        <v>55</v>
      </c>
      <c r="AB178" s="5">
        <f t="shared" si="2"/>
        <v>40</v>
      </c>
    </row>
    <row r="179" spans="1:28" ht="24" customHeight="1">
      <c r="A179" s="2" t="s">
        <v>943</v>
      </c>
      <c r="B179" s="2" t="s">
        <v>944</v>
      </c>
      <c r="C179" s="3" t="s">
        <v>945</v>
      </c>
      <c r="D179" s="2" t="s">
        <v>92</v>
      </c>
      <c r="E179" s="2" t="s">
        <v>115</v>
      </c>
      <c r="F179" s="2" t="s">
        <v>43</v>
      </c>
      <c r="G179" s="2" t="s">
        <v>208</v>
      </c>
      <c r="H179" s="2" t="s">
        <v>52</v>
      </c>
      <c r="I179" s="2" t="s">
        <v>45</v>
      </c>
      <c r="J179" s="2">
        <v>0</v>
      </c>
      <c r="K179" s="2">
        <v>1</v>
      </c>
      <c r="L179" s="2">
        <v>10</v>
      </c>
      <c r="M179" s="2" t="s">
        <v>46</v>
      </c>
      <c r="N179" s="2">
        <v>1</v>
      </c>
      <c r="O179" s="2">
        <v>1</v>
      </c>
      <c r="P179" s="2">
        <v>5</v>
      </c>
      <c r="Q179" s="2" t="s">
        <v>53</v>
      </c>
      <c r="R179" s="2">
        <v>1</v>
      </c>
      <c r="S179" s="2">
        <v>1</v>
      </c>
      <c r="T179" s="2">
        <v>0</v>
      </c>
      <c r="U179" s="2"/>
      <c r="V179" s="2"/>
      <c r="W179" s="2"/>
      <c r="X179" s="2"/>
      <c r="Y179" s="3" t="s">
        <v>946</v>
      </c>
      <c r="Z179" s="3" t="s">
        <v>947</v>
      </c>
      <c r="AA179" s="2">
        <f>IF(OR(D179="Monster", E179="Basic"), 0, ROUND((MIN(IFERROR(VLOOKUP(G179, Relic_Price_Config!$A$5:$E$9, 4, FALSE), 350), MAX(IFERROR(VLOOKUP(G179, Relic_Price_Config!$A$5:$E$9, 3, FALSE), 210), ROUND((IFERROR(VLOOKUP(H179, Relic_Price_Config!$G$5:$N$100, 4, FALSE), 280) + N(L179) * IF(N(O179)&gt;1, N(O179), 1) * IFERROR(VLOOKUP(H179, Relic_Price_Config!$G$5:$N$100, 5, FALSE), 10) + ABS(N(R179)) * IFERROR(VLOOKUP(H179, Relic_Price_Config!$G$5:$N$100, 6, FALSE), 15) + IF(N(S179)&gt;1, (N(S179)-1)*10, 0)) * IFERROR(VLOOKUP(G179, Relic_Price_Config!$A$5:$E$9, 2, FALSE), 1), 0))) * 0.1) / 5, 0) * 5)</f>
        <v>50</v>
      </c>
      <c r="AB179" s="2">
        <f t="shared" si="2"/>
        <v>35</v>
      </c>
    </row>
    <row r="180" spans="1:28" ht="24" customHeight="1">
      <c r="A180" s="5" t="s">
        <v>948</v>
      </c>
      <c r="B180" s="5" t="s">
        <v>949</v>
      </c>
      <c r="C180" s="9" t="s">
        <v>950</v>
      </c>
      <c r="D180" s="5" t="s">
        <v>92</v>
      </c>
      <c r="E180" s="2" t="s">
        <v>115</v>
      </c>
      <c r="F180" s="5" t="s">
        <v>43</v>
      </c>
      <c r="G180" s="5" t="s">
        <v>208</v>
      </c>
      <c r="H180" s="5" t="s">
        <v>877</v>
      </c>
      <c r="I180" s="5" t="s">
        <v>45</v>
      </c>
      <c r="J180" s="5">
        <v>0</v>
      </c>
      <c r="K180" s="5">
        <v>1</v>
      </c>
      <c r="L180" s="5">
        <v>0</v>
      </c>
      <c r="M180" s="5" t="s">
        <v>46</v>
      </c>
      <c r="N180" s="5">
        <v>1</v>
      </c>
      <c r="O180" s="5">
        <v>1</v>
      </c>
      <c r="P180" s="5">
        <v>4</v>
      </c>
      <c r="Q180" s="5" t="s">
        <v>53</v>
      </c>
      <c r="R180" s="5">
        <v>2</v>
      </c>
      <c r="S180" s="5">
        <v>2</v>
      </c>
      <c r="T180" s="5">
        <v>0</v>
      </c>
      <c r="U180" s="5"/>
      <c r="V180" s="5"/>
      <c r="W180" s="5"/>
      <c r="X180" s="5"/>
      <c r="Y180" s="6" t="s">
        <v>951</v>
      </c>
      <c r="Z180" s="6" t="s">
        <v>952</v>
      </c>
      <c r="AA180" s="5">
        <f>IF(OR(D180="Monster", E180="Basic"), 0, ROUND((MIN(IFERROR(VLOOKUP(G180, Relic_Price_Config!$A$5:$E$9, 4, FALSE), 350), MAX(IFERROR(VLOOKUP(G180, Relic_Price_Config!$A$5:$E$9, 3, FALSE), 210), ROUND((IFERROR(VLOOKUP(H180, Relic_Price_Config!$G$5:$N$100, 4, FALSE), 280) + N(L180) * IF(N(O180)&gt;1, N(O180), 1) * IFERROR(VLOOKUP(H180, Relic_Price_Config!$G$5:$N$100, 5, FALSE), 10) + ABS(N(R180)) * IFERROR(VLOOKUP(H180, Relic_Price_Config!$G$5:$N$100, 6, FALSE), 15) + IF(N(S180)&gt;1, (N(S180)-1)*10, 0)) * IFERROR(VLOOKUP(G180, Relic_Price_Config!$A$5:$E$9, 2, FALSE), 1), 0))) * 0.1) / 5, 0) * 5)</f>
        <v>50</v>
      </c>
      <c r="AB180" s="5">
        <f t="shared" si="2"/>
        <v>35</v>
      </c>
    </row>
    <row r="181" spans="1:28" ht="24" customHeight="1">
      <c r="A181" s="2" t="s">
        <v>953</v>
      </c>
      <c r="B181" s="2" t="s">
        <v>954</v>
      </c>
      <c r="C181" s="3" t="s">
        <v>955</v>
      </c>
      <c r="D181" s="2" t="s">
        <v>92</v>
      </c>
      <c r="E181" s="2" t="s">
        <v>115</v>
      </c>
      <c r="F181" s="2" t="s">
        <v>33</v>
      </c>
      <c r="G181" s="2" t="s">
        <v>208</v>
      </c>
      <c r="H181" s="2" t="s">
        <v>350</v>
      </c>
      <c r="I181" s="2" t="s">
        <v>108</v>
      </c>
      <c r="J181" s="2">
        <v>0</v>
      </c>
      <c r="K181" s="2">
        <v>1</v>
      </c>
      <c r="L181" s="2">
        <v>8</v>
      </c>
      <c r="M181" s="2" t="s">
        <v>37</v>
      </c>
      <c r="N181" s="2">
        <v>1</v>
      </c>
      <c r="O181" s="2">
        <v>1</v>
      </c>
      <c r="P181" s="2">
        <v>0</v>
      </c>
      <c r="Q181" s="2" t="s">
        <v>94</v>
      </c>
      <c r="R181" s="2">
        <v>1</v>
      </c>
      <c r="S181" s="2">
        <v>2</v>
      </c>
      <c r="T181" s="2">
        <v>0</v>
      </c>
      <c r="U181" s="2"/>
      <c r="V181" s="2"/>
      <c r="W181" s="2"/>
      <c r="X181" s="2"/>
      <c r="Y181" s="3" t="s">
        <v>956</v>
      </c>
      <c r="Z181" s="3" t="s">
        <v>957</v>
      </c>
      <c r="AA181" s="2">
        <f>IF(OR(D181="Monster", E181="Basic"), 0, ROUND((MIN(IFERROR(VLOOKUP(G181, Relic_Price_Config!$A$5:$E$9, 4, FALSE), 350), MAX(IFERROR(VLOOKUP(G181, Relic_Price_Config!$A$5:$E$9, 3, FALSE), 210), ROUND((IFERROR(VLOOKUP(H181, Relic_Price_Config!$G$5:$N$100, 4, FALSE), 280) + N(L181) * IF(N(O181)&gt;1, N(O181), 1) * IFERROR(VLOOKUP(H181, Relic_Price_Config!$G$5:$N$100, 5, FALSE), 10) + ABS(N(R181)) * IFERROR(VLOOKUP(H181, Relic_Price_Config!$G$5:$N$100, 6, FALSE), 15) + IF(N(S181)&gt;1, (N(S181)-1)*10, 0)) * IFERROR(VLOOKUP(G181, Relic_Price_Config!$A$5:$E$9, 2, FALSE), 1), 0))) * 0.1) / 5, 0) * 5)</f>
        <v>50</v>
      </c>
      <c r="AB181" s="2">
        <f t="shared" si="2"/>
        <v>35</v>
      </c>
    </row>
    <row r="182" spans="1:28" ht="24" customHeight="1">
      <c r="A182" s="5" t="s">
        <v>958</v>
      </c>
      <c r="B182" s="5" t="s">
        <v>959</v>
      </c>
      <c r="C182" s="9" t="s">
        <v>960</v>
      </c>
      <c r="D182" s="5" t="s">
        <v>92</v>
      </c>
      <c r="E182" s="2" t="s">
        <v>115</v>
      </c>
      <c r="F182" s="5" t="s">
        <v>33</v>
      </c>
      <c r="G182" s="5" t="s">
        <v>208</v>
      </c>
      <c r="H182" s="5" t="s">
        <v>129</v>
      </c>
      <c r="I182" s="5" t="s">
        <v>36</v>
      </c>
      <c r="J182" s="5">
        <v>0</v>
      </c>
      <c r="K182" s="5">
        <v>1</v>
      </c>
      <c r="L182" s="5">
        <v>12</v>
      </c>
      <c r="M182" s="5" t="s">
        <v>37</v>
      </c>
      <c r="N182" s="5">
        <v>1</v>
      </c>
      <c r="O182" s="5">
        <v>1</v>
      </c>
      <c r="P182" s="5">
        <v>0</v>
      </c>
      <c r="Q182" s="5" t="s">
        <v>130</v>
      </c>
      <c r="R182" s="5">
        <v>2</v>
      </c>
      <c r="S182" s="5">
        <v>2</v>
      </c>
      <c r="T182" s="5">
        <v>0</v>
      </c>
      <c r="U182" s="5"/>
      <c r="V182" s="5"/>
      <c r="W182" s="5"/>
      <c r="X182" s="5"/>
      <c r="Y182" s="6" t="s">
        <v>961</v>
      </c>
      <c r="Z182" s="6" t="s">
        <v>962</v>
      </c>
      <c r="AA182" s="5">
        <f>IF(OR(D182="Monster", E182="Basic"), 0, ROUND((MIN(IFERROR(VLOOKUP(G182, Relic_Price_Config!$A$5:$E$9, 4, FALSE), 350), MAX(IFERROR(VLOOKUP(G182, Relic_Price_Config!$A$5:$E$9, 3, FALSE), 210), ROUND((IFERROR(VLOOKUP(H182, Relic_Price_Config!$G$5:$N$100, 4, FALSE), 280) + N(L182) * IF(N(O182)&gt;1, N(O182), 1) * IFERROR(VLOOKUP(H182, Relic_Price_Config!$G$5:$N$100, 5, FALSE), 10) + ABS(N(R182)) * IFERROR(VLOOKUP(H182, Relic_Price_Config!$G$5:$N$100, 6, FALSE), 15) + IF(N(S182)&gt;1, (N(S182)-1)*10, 0)) * IFERROR(VLOOKUP(G182, Relic_Price_Config!$A$5:$E$9, 2, FALSE), 1), 0))) * 0.1) / 5, 0) * 5)</f>
        <v>55</v>
      </c>
      <c r="AB182" s="5">
        <f t="shared" si="2"/>
        <v>40</v>
      </c>
    </row>
    <row r="183" spans="1:28" ht="24" customHeight="1">
      <c r="A183" s="2" t="s">
        <v>963</v>
      </c>
      <c r="B183" s="2" t="s">
        <v>964</v>
      </c>
      <c r="C183" s="3" t="s">
        <v>965</v>
      </c>
      <c r="D183" s="2" t="s">
        <v>92</v>
      </c>
      <c r="E183" s="2" t="s">
        <v>115</v>
      </c>
      <c r="F183" s="2" t="s">
        <v>33</v>
      </c>
      <c r="G183" s="2" t="s">
        <v>208</v>
      </c>
      <c r="H183" s="2" t="s">
        <v>356</v>
      </c>
      <c r="I183" s="2" t="s">
        <v>108</v>
      </c>
      <c r="J183" s="2">
        <v>0</v>
      </c>
      <c r="K183" s="2">
        <v>1</v>
      </c>
      <c r="L183" s="2">
        <v>9</v>
      </c>
      <c r="M183" s="2" t="s">
        <v>37</v>
      </c>
      <c r="N183" s="2">
        <v>1</v>
      </c>
      <c r="O183" s="2">
        <v>1</v>
      </c>
      <c r="P183" s="2">
        <v>0</v>
      </c>
      <c r="Q183" s="2" t="s">
        <v>357</v>
      </c>
      <c r="R183" s="2">
        <v>1</v>
      </c>
      <c r="S183" s="2">
        <v>2</v>
      </c>
      <c r="T183" s="2">
        <v>0</v>
      </c>
      <c r="U183" s="2"/>
      <c r="V183" s="2"/>
      <c r="W183" s="2"/>
      <c r="X183" s="2"/>
      <c r="Y183" s="3" t="s">
        <v>966</v>
      </c>
      <c r="Z183" s="3" t="s">
        <v>962</v>
      </c>
      <c r="AA183" s="2">
        <f>IF(OR(D183="Monster", E183="Basic"), 0, ROUND((MIN(IFERROR(VLOOKUP(G183, Relic_Price_Config!$A$5:$E$9, 4, FALSE), 350), MAX(IFERROR(VLOOKUP(G183, Relic_Price_Config!$A$5:$E$9, 3, FALSE), 210), ROUND((IFERROR(VLOOKUP(H183, Relic_Price_Config!$G$5:$N$100, 4, FALSE), 280) + N(L183) * IF(N(O183)&gt;1, N(O183), 1) * IFERROR(VLOOKUP(H183, Relic_Price_Config!$G$5:$N$100, 5, FALSE), 10) + ABS(N(R183)) * IFERROR(VLOOKUP(H183, Relic_Price_Config!$G$5:$N$100, 6, FALSE), 15) + IF(N(S183)&gt;1, (N(S183)-1)*10, 0)) * IFERROR(VLOOKUP(G183, Relic_Price_Config!$A$5:$E$9, 2, FALSE), 1), 0))) * 0.1) / 5, 0) * 5)</f>
        <v>50</v>
      </c>
      <c r="AB183" s="2">
        <f t="shared" si="2"/>
        <v>35</v>
      </c>
    </row>
    <row r="184" spans="1:28" ht="24" customHeight="1">
      <c r="A184" s="5" t="s">
        <v>967</v>
      </c>
      <c r="B184" s="5" t="s">
        <v>968</v>
      </c>
      <c r="C184" s="9" t="s">
        <v>969</v>
      </c>
      <c r="D184" s="5" t="s">
        <v>92</v>
      </c>
      <c r="E184" s="2" t="s">
        <v>115</v>
      </c>
      <c r="F184" s="5" t="s">
        <v>33</v>
      </c>
      <c r="G184" s="5" t="s">
        <v>208</v>
      </c>
      <c r="H184" s="5" t="s">
        <v>152</v>
      </c>
      <c r="I184" s="5" t="s">
        <v>36</v>
      </c>
      <c r="J184" s="5">
        <v>0</v>
      </c>
      <c r="K184" s="5">
        <v>1</v>
      </c>
      <c r="L184" s="5">
        <v>11</v>
      </c>
      <c r="M184" s="5" t="s">
        <v>37</v>
      </c>
      <c r="N184" s="5">
        <v>1</v>
      </c>
      <c r="O184" s="5">
        <v>1</v>
      </c>
      <c r="P184" s="5">
        <v>6</v>
      </c>
      <c r="Q184" s="5"/>
      <c r="R184" s="5">
        <v>0</v>
      </c>
      <c r="S184" s="5">
        <v>0</v>
      </c>
      <c r="T184" s="5">
        <v>0</v>
      </c>
      <c r="U184" s="5"/>
      <c r="V184" s="5"/>
      <c r="W184" s="5"/>
      <c r="X184" s="5"/>
      <c r="Y184" s="6" t="s">
        <v>970</v>
      </c>
      <c r="Z184" s="6" t="s">
        <v>971</v>
      </c>
      <c r="AA184" s="5">
        <f>IF(OR(D184="Monster", E184="Basic"), 0, ROUND((MIN(IFERROR(VLOOKUP(G184, Relic_Price_Config!$A$5:$E$9, 4, FALSE), 350), MAX(IFERROR(VLOOKUP(G184, Relic_Price_Config!$A$5:$E$9, 3, FALSE), 210), ROUND((IFERROR(VLOOKUP(H184, Relic_Price_Config!$G$5:$N$100, 4, FALSE), 280) + N(L184) * IF(N(O184)&gt;1, N(O184), 1) * IFERROR(VLOOKUP(H184, Relic_Price_Config!$G$5:$N$100, 5, FALSE), 10) + ABS(N(R184)) * IFERROR(VLOOKUP(H184, Relic_Price_Config!$G$5:$N$100, 6, FALSE), 15) + IF(N(S184)&gt;1, (N(S184)-1)*10, 0)) * IFERROR(VLOOKUP(G184, Relic_Price_Config!$A$5:$E$9, 2, FALSE), 1), 0))) * 0.1) / 5, 0) * 5)</f>
        <v>50</v>
      </c>
      <c r="AB184" s="5">
        <f t="shared" si="2"/>
        <v>35</v>
      </c>
    </row>
    <row r="185" spans="1:28" ht="24" customHeight="1">
      <c r="A185" s="2" t="s">
        <v>972</v>
      </c>
      <c r="B185" s="2" t="s">
        <v>973</v>
      </c>
      <c r="C185" s="3" t="s">
        <v>974</v>
      </c>
      <c r="D185" s="2" t="s">
        <v>92</v>
      </c>
      <c r="E185" s="2" t="s">
        <v>115</v>
      </c>
      <c r="F185" s="2" t="s">
        <v>33</v>
      </c>
      <c r="G185" s="2" t="s">
        <v>295</v>
      </c>
      <c r="H185" s="2" t="s">
        <v>35</v>
      </c>
      <c r="I185" s="2" t="s">
        <v>36</v>
      </c>
      <c r="J185" s="2">
        <v>0</v>
      </c>
      <c r="K185" s="2">
        <v>1</v>
      </c>
      <c r="L185" s="2">
        <v>5</v>
      </c>
      <c r="M185" s="2" t="s">
        <v>37</v>
      </c>
      <c r="N185" s="2">
        <v>1</v>
      </c>
      <c r="O185" s="2">
        <v>5</v>
      </c>
      <c r="P185" s="2">
        <v>0</v>
      </c>
      <c r="Q185" s="2"/>
      <c r="R185" s="2">
        <v>0</v>
      </c>
      <c r="S185" s="2">
        <v>0</v>
      </c>
      <c r="T185" s="2">
        <v>0</v>
      </c>
      <c r="U185" s="2"/>
      <c r="V185" s="2"/>
      <c r="W185" s="2"/>
      <c r="X185" s="2"/>
      <c r="Y185" s="3" t="s">
        <v>975</v>
      </c>
      <c r="Z185" s="3" t="s">
        <v>976</v>
      </c>
      <c r="AA185" s="2">
        <f>IF(OR(D185="Monster", E185="Basic"), 0, ROUND((MIN(IFERROR(VLOOKUP(G185, Relic_Price_Config!$A$5:$E$9, 4, FALSE), 350), MAX(IFERROR(VLOOKUP(G185, Relic_Price_Config!$A$5:$E$9, 3, FALSE), 210), ROUND((IFERROR(VLOOKUP(H185, Relic_Price_Config!$G$5:$N$100, 4, FALSE), 280) + N(L185) * IF(N(O185)&gt;1, N(O185), 1) * IFERROR(VLOOKUP(H185, Relic_Price_Config!$G$5:$N$100, 5, FALSE), 10) + ABS(N(R185)) * IFERROR(VLOOKUP(H185, Relic_Price_Config!$G$5:$N$100, 6, FALSE), 15) + IF(N(S185)&gt;1, (N(S185)-1)*10, 0)) * IFERROR(VLOOKUP(G185, Relic_Price_Config!$A$5:$E$9, 2, FALSE), 1), 0))) * 0.1) / 5, 0) * 5)</f>
        <v>70</v>
      </c>
      <c r="AB185" s="2">
        <f t="shared" si="2"/>
        <v>50</v>
      </c>
    </row>
    <row r="186" spans="1:28" ht="24" customHeight="1">
      <c r="A186" s="5" t="s">
        <v>977</v>
      </c>
      <c r="B186" s="5" t="s">
        <v>978</v>
      </c>
      <c r="C186" s="9" t="s">
        <v>979</v>
      </c>
      <c r="D186" s="5" t="s">
        <v>92</v>
      </c>
      <c r="E186" s="2" t="s">
        <v>115</v>
      </c>
      <c r="F186" s="5" t="s">
        <v>33</v>
      </c>
      <c r="G186" s="5" t="s">
        <v>295</v>
      </c>
      <c r="H186" s="5" t="s">
        <v>833</v>
      </c>
      <c r="I186" s="5" t="s">
        <v>36</v>
      </c>
      <c r="J186" s="5">
        <v>0</v>
      </c>
      <c r="K186" s="5">
        <v>1</v>
      </c>
      <c r="L186" s="5">
        <v>6</v>
      </c>
      <c r="M186" s="5" t="s">
        <v>37</v>
      </c>
      <c r="N186" s="5">
        <v>1</v>
      </c>
      <c r="O186" s="5">
        <v>4</v>
      </c>
      <c r="P186" s="5">
        <v>0</v>
      </c>
      <c r="Q186" s="5" t="s">
        <v>94</v>
      </c>
      <c r="R186" s="5">
        <v>1</v>
      </c>
      <c r="S186" s="5">
        <v>2</v>
      </c>
      <c r="T186" s="5">
        <v>0</v>
      </c>
      <c r="U186" s="5"/>
      <c r="V186" s="5"/>
      <c r="W186" s="5"/>
      <c r="X186" s="5"/>
      <c r="Y186" s="6" t="s">
        <v>980</v>
      </c>
      <c r="Z186" s="6" t="s">
        <v>976</v>
      </c>
      <c r="AA186" s="5">
        <f>IF(OR(D186="Monster", E186="Basic"), 0, ROUND((MIN(IFERROR(VLOOKUP(G186, Relic_Price_Config!$A$5:$E$9, 4, FALSE), 350), MAX(IFERROR(VLOOKUP(G186, Relic_Price_Config!$A$5:$E$9, 3, FALSE), 210), ROUND((IFERROR(VLOOKUP(H186, Relic_Price_Config!$G$5:$N$100, 4, FALSE), 280) + N(L186) * IF(N(O186)&gt;1, N(O186), 1) * IFERROR(VLOOKUP(H186, Relic_Price_Config!$G$5:$N$100, 5, FALSE), 10) + ABS(N(R186)) * IFERROR(VLOOKUP(H186, Relic_Price_Config!$G$5:$N$100, 6, FALSE), 15) + IF(N(S186)&gt;1, (N(S186)-1)*10, 0)) * IFERROR(VLOOKUP(G186, Relic_Price_Config!$A$5:$E$9, 2, FALSE), 1), 0))) * 0.1) / 5, 0) * 5)</f>
        <v>70</v>
      </c>
      <c r="AB186" s="5">
        <f t="shared" si="2"/>
        <v>50</v>
      </c>
    </row>
    <row r="187" spans="1:28" ht="24" customHeight="1">
      <c r="A187" s="2" t="s">
        <v>981</v>
      </c>
      <c r="B187" s="2" t="s">
        <v>982</v>
      </c>
      <c r="C187" s="3" t="s">
        <v>983</v>
      </c>
      <c r="D187" s="2" t="s">
        <v>92</v>
      </c>
      <c r="E187" s="2" t="s">
        <v>115</v>
      </c>
      <c r="F187" s="2" t="s">
        <v>33</v>
      </c>
      <c r="G187" s="2" t="s">
        <v>295</v>
      </c>
      <c r="H187" s="2" t="s">
        <v>174</v>
      </c>
      <c r="I187" s="2" t="s">
        <v>108</v>
      </c>
      <c r="J187" s="2">
        <v>0</v>
      </c>
      <c r="K187" s="2">
        <v>1</v>
      </c>
      <c r="L187" s="2">
        <v>5</v>
      </c>
      <c r="M187" s="2" t="s">
        <v>37</v>
      </c>
      <c r="N187" s="2">
        <v>1</v>
      </c>
      <c r="O187" s="2">
        <v>4</v>
      </c>
      <c r="P187" s="2">
        <v>0</v>
      </c>
      <c r="Q187" s="2"/>
      <c r="R187" s="2">
        <v>0</v>
      </c>
      <c r="S187" s="2">
        <v>0</v>
      </c>
      <c r="T187" s="2">
        <v>0</v>
      </c>
      <c r="U187" s="2"/>
      <c r="V187" s="2"/>
      <c r="W187" s="2"/>
      <c r="X187" s="2"/>
      <c r="Y187" s="3" t="s">
        <v>984</v>
      </c>
      <c r="Z187" s="3" t="s">
        <v>976</v>
      </c>
      <c r="AA187" s="2">
        <f>IF(OR(D187="Monster", E187="Basic"), 0, ROUND((MIN(IFERROR(VLOOKUP(G187, Relic_Price_Config!$A$5:$E$9, 4, FALSE), 350), MAX(IFERROR(VLOOKUP(G187, Relic_Price_Config!$A$5:$E$9, 3, FALSE), 210), ROUND((IFERROR(VLOOKUP(H187, Relic_Price_Config!$G$5:$N$100, 4, FALSE), 280) + N(L187) * IF(N(O187)&gt;1, N(O187), 1) * IFERROR(VLOOKUP(H187, Relic_Price_Config!$G$5:$N$100, 5, FALSE), 10) + ABS(N(R187)) * IFERROR(VLOOKUP(H187, Relic_Price_Config!$G$5:$N$100, 6, FALSE), 15) + IF(N(S187)&gt;1, (N(S187)-1)*10, 0)) * IFERROR(VLOOKUP(G187, Relic_Price_Config!$A$5:$E$9, 2, FALSE), 1), 0))) * 0.1) / 5, 0) * 5)</f>
        <v>70</v>
      </c>
      <c r="AB187" s="2">
        <f t="shared" si="2"/>
        <v>50</v>
      </c>
    </row>
    <row r="188" spans="1:28" ht="24" customHeight="1">
      <c r="A188" s="5" t="s">
        <v>985</v>
      </c>
      <c r="B188" s="5" t="s">
        <v>986</v>
      </c>
      <c r="C188" s="9" t="s">
        <v>987</v>
      </c>
      <c r="D188" s="5" t="s">
        <v>92</v>
      </c>
      <c r="E188" s="2" t="s">
        <v>115</v>
      </c>
      <c r="F188" s="5" t="s">
        <v>33</v>
      </c>
      <c r="G188" s="5" t="s">
        <v>295</v>
      </c>
      <c r="H188" s="5" t="s">
        <v>842</v>
      </c>
      <c r="I188" s="5" t="s">
        <v>36</v>
      </c>
      <c r="J188" s="5">
        <v>0</v>
      </c>
      <c r="K188" s="5">
        <v>1</v>
      </c>
      <c r="L188" s="5">
        <v>15</v>
      </c>
      <c r="M188" s="5" t="s">
        <v>37</v>
      </c>
      <c r="N188" s="5">
        <v>1</v>
      </c>
      <c r="O188" s="5">
        <v>1</v>
      </c>
      <c r="P188" s="5">
        <v>0</v>
      </c>
      <c r="Q188" s="5" t="s">
        <v>109</v>
      </c>
      <c r="R188" s="5">
        <v>8</v>
      </c>
      <c r="S188" s="5">
        <v>3</v>
      </c>
      <c r="T188" s="5">
        <v>0</v>
      </c>
      <c r="U188" s="5"/>
      <c r="V188" s="5"/>
      <c r="W188" s="5"/>
      <c r="X188" s="5"/>
      <c r="Y188" s="6" t="s">
        <v>988</v>
      </c>
      <c r="Z188" s="6" t="s">
        <v>989</v>
      </c>
      <c r="AA188" s="5">
        <f>IF(OR(D188="Monster", E188="Basic"), 0, ROUND((MIN(IFERROR(VLOOKUP(G188, Relic_Price_Config!$A$5:$E$9, 4, FALSE), 350), MAX(IFERROR(VLOOKUP(G188, Relic_Price_Config!$A$5:$E$9, 3, FALSE), 210), ROUND((IFERROR(VLOOKUP(H188, Relic_Price_Config!$G$5:$N$100, 4, FALSE), 280) + N(L188) * IF(N(O188)&gt;1, N(O188), 1) * IFERROR(VLOOKUP(H188, Relic_Price_Config!$G$5:$N$100, 5, FALSE), 10) + ABS(N(R188)) * IFERROR(VLOOKUP(H188, Relic_Price_Config!$G$5:$N$100, 6, FALSE), 15) + IF(N(S188)&gt;1, (N(S188)-1)*10, 0)) * IFERROR(VLOOKUP(G188, Relic_Price_Config!$A$5:$E$9, 2, FALSE), 1), 0))) * 0.1) / 5, 0) * 5)</f>
        <v>70</v>
      </c>
      <c r="AB188" s="5">
        <f t="shared" si="2"/>
        <v>50</v>
      </c>
    </row>
    <row r="189" spans="1:28" ht="27.6" customHeight="1">
      <c r="A189" s="2" t="s">
        <v>990</v>
      </c>
      <c r="B189" s="2" t="s">
        <v>991</v>
      </c>
      <c r="C189" s="3" t="s">
        <v>992</v>
      </c>
      <c r="D189" s="2" t="s">
        <v>92</v>
      </c>
      <c r="E189" s="2" t="s">
        <v>115</v>
      </c>
      <c r="F189" s="2" t="s">
        <v>33</v>
      </c>
      <c r="G189" s="2" t="s">
        <v>295</v>
      </c>
      <c r="H189" s="2" t="s">
        <v>489</v>
      </c>
      <c r="I189" s="2" t="s">
        <v>108</v>
      </c>
      <c r="J189" s="2">
        <v>0</v>
      </c>
      <c r="K189" s="2">
        <v>1</v>
      </c>
      <c r="L189" s="2">
        <v>13</v>
      </c>
      <c r="M189" s="2" t="s">
        <v>37</v>
      </c>
      <c r="N189" s="2">
        <v>1</v>
      </c>
      <c r="O189" s="2">
        <v>1</v>
      </c>
      <c r="P189" s="2">
        <v>0</v>
      </c>
      <c r="Q189" s="2" t="s">
        <v>109</v>
      </c>
      <c r="R189" s="2">
        <v>6</v>
      </c>
      <c r="S189" s="2">
        <v>3</v>
      </c>
      <c r="T189" s="2">
        <v>0</v>
      </c>
      <c r="U189" s="2"/>
      <c r="V189" s="2"/>
      <c r="W189" s="2"/>
      <c r="X189" s="2"/>
      <c r="Y189" s="3" t="s">
        <v>993</v>
      </c>
      <c r="Z189" s="3" t="s">
        <v>989</v>
      </c>
      <c r="AA189" s="2">
        <f>IF(OR(D189="Monster", E189="Basic"), 0, ROUND((MIN(IFERROR(VLOOKUP(G189, Relic_Price_Config!$A$5:$E$9, 4, FALSE), 350), MAX(IFERROR(VLOOKUP(G189, Relic_Price_Config!$A$5:$E$9, 3, FALSE), 210), ROUND((IFERROR(VLOOKUP(H189, Relic_Price_Config!$G$5:$N$100, 4, FALSE), 280) + N(L189) * IF(N(O189)&gt;1, N(O189), 1) * IFERROR(VLOOKUP(H189, Relic_Price_Config!$G$5:$N$100, 5, FALSE), 10) + ABS(N(R189)) * IFERROR(VLOOKUP(H189, Relic_Price_Config!$G$5:$N$100, 6, FALSE), 15) + IF(N(S189)&gt;1, (N(S189)-1)*10, 0)) * IFERROR(VLOOKUP(G189, Relic_Price_Config!$A$5:$E$9, 2, FALSE), 1), 0))) * 0.1) / 5, 0) * 5)</f>
        <v>70</v>
      </c>
      <c r="AB189" s="2">
        <f t="shared" si="2"/>
        <v>50</v>
      </c>
    </row>
    <row r="190" spans="1:28" ht="24" customHeight="1">
      <c r="A190" s="5" t="s">
        <v>994</v>
      </c>
      <c r="B190" s="5" t="s">
        <v>995</v>
      </c>
      <c r="C190" s="9" t="s">
        <v>996</v>
      </c>
      <c r="D190" s="5" t="s">
        <v>92</v>
      </c>
      <c r="E190" s="2" t="s">
        <v>115</v>
      </c>
      <c r="F190" s="5" t="s">
        <v>43</v>
      </c>
      <c r="G190" s="5" t="s">
        <v>295</v>
      </c>
      <c r="H190" s="5" t="s">
        <v>107</v>
      </c>
      <c r="I190" s="5" t="s">
        <v>108</v>
      </c>
      <c r="J190" s="5">
        <v>0</v>
      </c>
      <c r="K190" s="5">
        <v>1</v>
      </c>
      <c r="L190" s="5">
        <v>14</v>
      </c>
      <c r="M190" s="5" t="s">
        <v>46</v>
      </c>
      <c r="N190" s="5">
        <v>1</v>
      </c>
      <c r="O190" s="5">
        <v>1</v>
      </c>
      <c r="P190" s="5">
        <v>0</v>
      </c>
      <c r="Q190" s="5" t="s">
        <v>109</v>
      </c>
      <c r="R190" s="5">
        <v>6</v>
      </c>
      <c r="S190" s="5">
        <v>3</v>
      </c>
      <c r="T190" s="5">
        <v>0</v>
      </c>
      <c r="U190" s="5"/>
      <c r="V190" s="5"/>
      <c r="W190" s="5"/>
      <c r="X190" s="5"/>
      <c r="Y190" s="6" t="s">
        <v>997</v>
      </c>
      <c r="Z190" s="6" t="s">
        <v>989</v>
      </c>
      <c r="AA190" s="5">
        <f>IF(OR(D190="Monster", E190="Basic"), 0, ROUND((MIN(IFERROR(VLOOKUP(G190, Relic_Price_Config!$A$5:$E$9, 4, FALSE), 350), MAX(IFERROR(VLOOKUP(G190, Relic_Price_Config!$A$5:$E$9, 3, FALSE), 210), ROUND((IFERROR(VLOOKUP(H190, Relic_Price_Config!$G$5:$N$100, 4, FALSE), 280) + N(L190) * IF(N(O190)&gt;1, N(O190), 1) * IFERROR(VLOOKUP(H190, Relic_Price_Config!$G$5:$N$100, 5, FALSE), 10) + ABS(N(R190)) * IFERROR(VLOOKUP(H190, Relic_Price_Config!$G$5:$N$100, 6, FALSE), 15) + IF(N(S190)&gt;1, (N(S190)-1)*10, 0)) * IFERROR(VLOOKUP(G190, Relic_Price_Config!$A$5:$E$9, 2, FALSE), 1), 0))) * 0.1) / 5, 0) * 5)</f>
        <v>70</v>
      </c>
      <c r="AB190" s="5">
        <f t="shared" si="2"/>
        <v>50</v>
      </c>
    </row>
    <row r="191" spans="1:28" ht="24" customHeight="1">
      <c r="A191" s="2" t="s">
        <v>998</v>
      </c>
      <c r="B191" s="2" t="s">
        <v>999</v>
      </c>
      <c r="C191" s="3" t="s">
        <v>1000</v>
      </c>
      <c r="D191" s="2" t="s">
        <v>92</v>
      </c>
      <c r="E191" s="2" t="s">
        <v>115</v>
      </c>
      <c r="F191" s="2" t="s">
        <v>51</v>
      </c>
      <c r="G191" s="2" t="s">
        <v>295</v>
      </c>
      <c r="H191" s="2" t="s">
        <v>857</v>
      </c>
      <c r="I191" s="2" t="s">
        <v>45</v>
      </c>
      <c r="J191" s="2">
        <v>0</v>
      </c>
      <c r="K191" s="2">
        <v>1</v>
      </c>
      <c r="L191" s="2">
        <v>0</v>
      </c>
      <c r="M191" s="2"/>
      <c r="N191" s="2">
        <v>0</v>
      </c>
      <c r="O191" s="2">
        <v>1</v>
      </c>
      <c r="P191" s="2">
        <v>0</v>
      </c>
      <c r="Q191" s="2" t="s">
        <v>71</v>
      </c>
      <c r="R191" s="2">
        <v>3</v>
      </c>
      <c r="S191" s="2">
        <v>-1</v>
      </c>
      <c r="T191" s="2">
        <v>0</v>
      </c>
      <c r="U191" s="2"/>
      <c r="V191" s="2"/>
      <c r="W191" s="2"/>
      <c r="X191" s="2"/>
      <c r="Y191" s="3" t="s">
        <v>1001</v>
      </c>
      <c r="Z191" s="3" t="s">
        <v>1002</v>
      </c>
      <c r="AA191" s="2">
        <f>IF(OR(D191="Monster", E191="Basic"), 0, ROUND((MIN(IFERROR(VLOOKUP(G191, Relic_Price_Config!$A$5:$E$9, 4, FALSE), 350), MAX(IFERROR(VLOOKUP(G191, Relic_Price_Config!$A$5:$E$9, 3, FALSE), 210), ROUND((IFERROR(VLOOKUP(H191, Relic_Price_Config!$G$5:$N$100, 4, FALSE), 280) + N(L191) * IF(N(O191)&gt;1, N(O191), 1) * IFERROR(VLOOKUP(H191, Relic_Price_Config!$G$5:$N$100, 5, FALSE), 10) + ABS(N(R191)) * IFERROR(VLOOKUP(H191, Relic_Price_Config!$G$5:$N$100, 6, FALSE), 15) + IF(N(S191)&gt;1, (N(S191)-1)*10, 0)) * IFERROR(VLOOKUP(G191, Relic_Price_Config!$A$5:$E$9, 2, FALSE), 1), 0))) * 0.1) / 5, 0) * 5)</f>
        <v>70</v>
      </c>
      <c r="AB191" s="2">
        <f t="shared" si="2"/>
        <v>50</v>
      </c>
    </row>
    <row r="192" spans="1:28" ht="24" customHeight="1">
      <c r="A192" s="5" t="s">
        <v>1003</v>
      </c>
      <c r="B192" s="5" t="s">
        <v>1004</v>
      </c>
      <c r="C192" s="9" t="s">
        <v>1005</v>
      </c>
      <c r="D192" s="5" t="s">
        <v>92</v>
      </c>
      <c r="E192" s="2" t="s">
        <v>115</v>
      </c>
      <c r="F192" s="5" t="s">
        <v>33</v>
      </c>
      <c r="G192" s="5" t="s">
        <v>295</v>
      </c>
      <c r="H192" s="5" t="s">
        <v>863</v>
      </c>
      <c r="I192" s="5" t="s">
        <v>36</v>
      </c>
      <c r="J192" s="5">
        <v>0</v>
      </c>
      <c r="K192" s="5">
        <v>1</v>
      </c>
      <c r="L192" s="5">
        <v>18</v>
      </c>
      <c r="M192" s="5" t="s">
        <v>37</v>
      </c>
      <c r="N192" s="5">
        <v>1</v>
      </c>
      <c r="O192" s="5">
        <v>1</v>
      </c>
      <c r="P192" s="5">
        <v>0</v>
      </c>
      <c r="Q192" s="5" t="s">
        <v>101</v>
      </c>
      <c r="R192" s="5">
        <v>3</v>
      </c>
      <c r="S192" s="5">
        <v>2</v>
      </c>
      <c r="T192" s="5">
        <v>0</v>
      </c>
      <c r="U192" s="5"/>
      <c r="V192" s="5"/>
      <c r="W192" s="5"/>
      <c r="X192" s="5"/>
      <c r="Y192" s="6" t="s">
        <v>1006</v>
      </c>
      <c r="Z192" s="6" t="s">
        <v>1002</v>
      </c>
      <c r="AA192" s="5">
        <f>IF(OR(D192="Monster", E192="Basic"), 0, ROUND((MIN(IFERROR(VLOOKUP(G192, Relic_Price_Config!$A$5:$E$9, 4, FALSE), 350), MAX(IFERROR(VLOOKUP(G192, Relic_Price_Config!$A$5:$E$9, 3, FALSE), 210), ROUND((IFERROR(VLOOKUP(H192, Relic_Price_Config!$G$5:$N$100, 4, FALSE), 280) + N(L192) * IF(N(O192)&gt;1, N(O192), 1) * IFERROR(VLOOKUP(H192, Relic_Price_Config!$G$5:$N$100, 5, FALSE), 10) + ABS(N(R192)) * IFERROR(VLOOKUP(H192, Relic_Price_Config!$G$5:$N$100, 6, FALSE), 15) + IF(N(S192)&gt;1, (N(S192)-1)*10, 0)) * IFERROR(VLOOKUP(G192, Relic_Price_Config!$A$5:$E$9, 2, FALSE), 1), 0))) * 0.1) / 5, 0) * 5)</f>
        <v>70</v>
      </c>
      <c r="AB192" s="5">
        <f t="shared" si="2"/>
        <v>50</v>
      </c>
    </row>
    <row r="193" spans="1:28" ht="24" customHeight="1">
      <c r="A193" s="2" t="s">
        <v>1007</v>
      </c>
      <c r="B193" s="2" t="s">
        <v>1008</v>
      </c>
      <c r="C193" s="3" t="s">
        <v>1009</v>
      </c>
      <c r="D193" s="2" t="s">
        <v>92</v>
      </c>
      <c r="E193" s="2" t="s">
        <v>115</v>
      </c>
      <c r="F193" s="2" t="s">
        <v>51</v>
      </c>
      <c r="G193" s="2" t="s">
        <v>295</v>
      </c>
      <c r="H193" s="2" t="s">
        <v>1010</v>
      </c>
      <c r="I193" s="2" t="s">
        <v>45</v>
      </c>
      <c r="J193" s="2">
        <v>0</v>
      </c>
      <c r="K193" s="2">
        <v>1</v>
      </c>
      <c r="L193" s="2">
        <v>1</v>
      </c>
      <c r="M193" s="2"/>
      <c r="N193" s="2">
        <v>0</v>
      </c>
      <c r="O193" s="2">
        <v>1</v>
      </c>
      <c r="P193" s="2">
        <v>0</v>
      </c>
      <c r="Q193" s="2" t="s">
        <v>1011</v>
      </c>
      <c r="R193" s="2">
        <v>1</v>
      </c>
      <c r="S193" s="2">
        <v>2</v>
      </c>
      <c r="T193" s="2">
        <v>0</v>
      </c>
      <c r="U193" s="2"/>
      <c r="V193" s="2"/>
      <c r="W193" s="2"/>
      <c r="X193" s="2"/>
      <c r="Y193" s="3" t="s">
        <v>1012</v>
      </c>
      <c r="Z193" s="3" t="s">
        <v>1002</v>
      </c>
      <c r="AA193" s="2">
        <f>IF(OR(D193="Monster", E193="Basic"), 0, ROUND((MIN(IFERROR(VLOOKUP(G193, Relic_Price_Config!$A$5:$E$9, 4, FALSE), 350), MAX(IFERROR(VLOOKUP(G193, Relic_Price_Config!$A$5:$E$9, 3, FALSE), 210), ROUND((IFERROR(VLOOKUP(H193, Relic_Price_Config!$G$5:$N$100, 4, FALSE), 280) + N(L193) * IF(N(O193)&gt;1, N(O193), 1) * IFERROR(VLOOKUP(H193, Relic_Price_Config!$G$5:$N$100, 5, FALSE), 10) + ABS(N(R193)) * IFERROR(VLOOKUP(H193, Relic_Price_Config!$G$5:$N$100, 6, FALSE), 15) + IF(N(S193)&gt;1, (N(S193)-1)*10, 0)) * IFERROR(VLOOKUP(G193, Relic_Price_Config!$A$5:$E$9, 2, FALSE), 1), 0))) * 0.1) / 5, 0) * 5)</f>
        <v>70</v>
      </c>
      <c r="AB193" s="2">
        <f t="shared" si="2"/>
        <v>50</v>
      </c>
    </row>
    <row r="194" spans="1:28" ht="24" customHeight="1">
      <c r="A194" s="5" t="s">
        <v>1013</v>
      </c>
      <c r="B194" s="5" t="s">
        <v>1014</v>
      </c>
      <c r="C194" s="9" t="s">
        <v>1015</v>
      </c>
      <c r="D194" s="5" t="s">
        <v>92</v>
      </c>
      <c r="E194" s="2" t="s">
        <v>115</v>
      </c>
      <c r="F194" s="5" t="s">
        <v>43</v>
      </c>
      <c r="G194" s="5" t="s">
        <v>295</v>
      </c>
      <c r="H194" s="5" t="s">
        <v>52</v>
      </c>
      <c r="I194" s="5" t="s">
        <v>45</v>
      </c>
      <c r="J194" s="5">
        <v>0</v>
      </c>
      <c r="K194" s="5">
        <v>1</v>
      </c>
      <c r="L194" s="5">
        <v>15</v>
      </c>
      <c r="M194" s="5" t="s">
        <v>46</v>
      </c>
      <c r="N194" s="5">
        <v>1</v>
      </c>
      <c r="O194" s="5">
        <v>1</v>
      </c>
      <c r="P194" s="5">
        <v>7</v>
      </c>
      <c r="Q194" s="5" t="s">
        <v>53</v>
      </c>
      <c r="R194" s="5">
        <v>1</v>
      </c>
      <c r="S194" s="5">
        <v>2</v>
      </c>
      <c r="T194" s="5">
        <v>0</v>
      </c>
      <c r="U194" s="5"/>
      <c r="V194" s="5"/>
      <c r="W194" s="5"/>
      <c r="X194" s="5"/>
      <c r="Y194" s="6" t="s">
        <v>1016</v>
      </c>
      <c r="Z194" s="6" t="s">
        <v>1017</v>
      </c>
      <c r="AA194" s="5">
        <f>IF(OR(D194="Monster", E194="Basic"), 0, ROUND((MIN(IFERROR(VLOOKUP(G194, Relic_Price_Config!$A$5:$E$9, 4, FALSE), 350), MAX(IFERROR(VLOOKUP(G194, Relic_Price_Config!$A$5:$E$9, 3, FALSE), 210), ROUND((IFERROR(VLOOKUP(H194, Relic_Price_Config!$G$5:$N$100, 4, FALSE), 280) + N(L194) * IF(N(O194)&gt;1, N(O194), 1) * IFERROR(VLOOKUP(H194, Relic_Price_Config!$G$5:$N$100, 5, FALSE), 10) + ABS(N(R194)) * IFERROR(VLOOKUP(H194, Relic_Price_Config!$G$5:$N$100, 6, FALSE), 15) + IF(N(S194)&gt;1, (N(S194)-1)*10, 0)) * IFERROR(VLOOKUP(G194, Relic_Price_Config!$A$5:$E$9, 2, FALSE), 1), 0))) * 0.1) / 5, 0) * 5)</f>
        <v>70</v>
      </c>
      <c r="AB194" s="5">
        <f t="shared" ref="AB194:AB257" si="3">IF(AA194&lt;=0, 0, ROUND((AA194*0.7)/5, 0)*5)</f>
        <v>50</v>
      </c>
    </row>
    <row r="195" spans="1:28" ht="24" customHeight="1">
      <c r="A195" s="2" t="s">
        <v>1018</v>
      </c>
      <c r="B195" s="2" t="s">
        <v>1019</v>
      </c>
      <c r="C195" s="3" t="s">
        <v>1020</v>
      </c>
      <c r="D195" s="2" t="s">
        <v>92</v>
      </c>
      <c r="E195" s="2" t="s">
        <v>115</v>
      </c>
      <c r="F195" s="2" t="s">
        <v>43</v>
      </c>
      <c r="G195" s="2" t="s">
        <v>295</v>
      </c>
      <c r="H195" s="2" t="s">
        <v>877</v>
      </c>
      <c r="I195" s="2" t="s">
        <v>45</v>
      </c>
      <c r="J195" s="2">
        <v>0</v>
      </c>
      <c r="K195" s="2">
        <v>1</v>
      </c>
      <c r="L195" s="2">
        <v>0</v>
      </c>
      <c r="M195" s="2" t="s">
        <v>46</v>
      </c>
      <c r="N195" s="2">
        <v>1</v>
      </c>
      <c r="O195" s="2">
        <v>1</v>
      </c>
      <c r="P195" s="2">
        <v>6</v>
      </c>
      <c r="Q195" s="2" t="s">
        <v>53</v>
      </c>
      <c r="R195" s="2">
        <v>3</v>
      </c>
      <c r="S195" s="2">
        <v>2</v>
      </c>
      <c r="T195" s="2">
        <v>0</v>
      </c>
      <c r="U195" s="2"/>
      <c r="V195" s="2"/>
      <c r="W195" s="2"/>
      <c r="X195" s="2"/>
      <c r="Y195" s="3" t="s">
        <v>1021</v>
      </c>
      <c r="Z195" s="3" t="s">
        <v>1022</v>
      </c>
      <c r="AA195" s="2">
        <f>IF(OR(D195="Monster", E195="Basic"), 0, ROUND((MIN(IFERROR(VLOOKUP(G195, Relic_Price_Config!$A$5:$E$9, 4, FALSE), 350), MAX(IFERROR(VLOOKUP(G195, Relic_Price_Config!$A$5:$E$9, 3, FALSE), 210), ROUND((IFERROR(VLOOKUP(H195, Relic_Price_Config!$G$5:$N$100, 4, FALSE), 280) + N(L195) * IF(N(O195)&gt;1, N(O195), 1) * IFERROR(VLOOKUP(H195, Relic_Price_Config!$G$5:$N$100, 5, FALSE), 10) + ABS(N(R195)) * IFERROR(VLOOKUP(H195, Relic_Price_Config!$G$5:$N$100, 6, FALSE), 15) + IF(N(S195)&gt;1, (N(S195)-1)*10, 0)) * IFERROR(VLOOKUP(G195, Relic_Price_Config!$A$5:$E$9, 2, FALSE), 1), 0))) * 0.1) / 5, 0) * 5)</f>
        <v>70</v>
      </c>
      <c r="AB195" s="2">
        <f t="shared" si="3"/>
        <v>50</v>
      </c>
    </row>
    <row r="196" spans="1:28" ht="24" customHeight="1">
      <c r="A196" s="5" t="s">
        <v>1023</v>
      </c>
      <c r="B196" s="5" t="s">
        <v>1024</v>
      </c>
      <c r="C196" s="9" t="s">
        <v>1025</v>
      </c>
      <c r="D196" s="5" t="s">
        <v>92</v>
      </c>
      <c r="E196" s="2" t="s">
        <v>115</v>
      </c>
      <c r="F196" s="5" t="s">
        <v>33</v>
      </c>
      <c r="G196" s="5" t="s">
        <v>295</v>
      </c>
      <c r="H196" s="5" t="s">
        <v>362</v>
      </c>
      <c r="I196" s="5" t="s">
        <v>108</v>
      </c>
      <c r="J196" s="5">
        <v>0</v>
      </c>
      <c r="K196" s="5">
        <v>1</v>
      </c>
      <c r="L196" s="5">
        <v>15</v>
      </c>
      <c r="M196" s="5" t="s">
        <v>37</v>
      </c>
      <c r="N196" s="5">
        <v>1</v>
      </c>
      <c r="O196" s="5">
        <v>1</v>
      </c>
      <c r="P196" s="5">
        <v>0</v>
      </c>
      <c r="Q196" s="5" t="s">
        <v>180</v>
      </c>
      <c r="R196" s="5">
        <v>5</v>
      </c>
      <c r="S196" s="5">
        <v>2</v>
      </c>
      <c r="T196" s="5">
        <v>0</v>
      </c>
      <c r="U196" s="5"/>
      <c r="V196" s="5"/>
      <c r="W196" s="5"/>
      <c r="X196" s="5"/>
      <c r="Y196" s="6" t="s">
        <v>1026</v>
      </c>
      <c r="Z196" s="6" t="s">
        <v>1027</v>
      </c>
      <c r="AA196" s="5">
        <f>IF(OR(D196="Monster", E196="Basic"), 0, ROUND((MIN(IFERROR(VLOOKUP(G196, Relic_Price_Config!$A$5:$E$9, 4, FALSE), 350), MAX(IFERROR(VLOOKUP(G196, Relic_Price_Config!$A$5:$E$9, 3, FALSE), 210), ROUND((IFERROR(VLOOKUP(H196, Relic_Price_Config!$G$5:$N$100, 4, FALSE), 280) + N(L196) * IF(N(O196)&gt;1, N(O196), 1) * IFERROR(VLOOKUP(H196, Relic_Price_Config!$G$5:$N$100, 5, FALSE), 10) + ABS(N(R196)) * IFERROR(VLOOKUP(H196, Relic_Price_Config!$G$5:$N$100, 6, FALSE), 15) + IF(N(S196)&gt;1, (N(S196)-1)*10, 0)) * IFERROR(VLOOKUP(G196, Relic_Price_Config!$A$5:$E$9, 2, FALSE), 1), 0))) * 0.1) / 5, 0) * 5)</f>
        <v>70</v>
      </c>
      <c r="AB196" s="5">
        <f t="shared" si="3"/>
        <v>50</v>
      </c>
    </row>
    <row r="197" spans="1:28" ht="24" customHeight="1">
      <c r="A197" s="2" t="s">
        <v>1028</v>
      </c>
      <c r="B197" s="2" t="s">
        <v>1029</v>
      </c>
      <c r="C197" s="3" t="s">
        <v>1030</v>
      </c>
      <c r="D197" s="2" t="s">
        <v>92</v>
      </c>
      <c r="E197" s="2" t="s">
        <v>115</v>
      </c>
      <c r="F197" s="2" t="s">
        <v>33</v>
      </c>
      <c r="G197" s="2" t="s">
        <v>295</v>
      </c>
      <c r="H197" s="2" t="s">
        <v>93</v>
      </c>
      <c r="I197" s="2" t="s">
        <v>36</v>
      </c>
      <c r="J197" s="2">
        <v>0</v>
      </c>
      <c r="K197" s="2">
        <v>1</v>
      </c>
      <c r="L197" s="2">
        <v>22</v>
      </c>
      <c r="M197" s="2" t="s">
        <v>37</v>
      </c>
      <c r="N197" s="2">
        <v>1</v>
      </c>
      <c r="O197" s="2">
        <v>1</v>
      </c>
      <c r="P197" s="2">
        <v>0</v>
      </c>
      <c r="Q197" s="2" t="s">
        <v>94</v>
      </c>
      <c r="R197" s="2">
        <v>1</v>
      </c>
      <c r="S197" s="2">
        <v>2</v>
      </c>
      <c r="T197" s="2">
        <v>0</v>
      </c>
      <c r="U197" s="2"/>
      <c r="V197" s="2"/>
      <c r="W197" s="2"/>
      <c r="X197" s="2"/>
      <c r="Y197" s="3" t="s">
        <v>1031</v>
      </c>
      <c r="Z197" s="3" t="s">
        <v>1032</v>
      </c>
      <c r="AA197" s="2">
        <f>IF(OR(D197="Monster", E197="Basic"), 0, ROUND((MIN(IFERROR(VLOOKUP(G197, Relic_Price_Config!$A$5:$E$9, 4, FALSE), 350), MAX(IFERROR(VLOOKUP(G197, Relic_Price_Config!$A$5:$E$9, 3, FALSE), 210), ROUND((IFERROR(VLOOKUP(H197, Relic_Price_Config!$G$5:$N$100, 4, FALSE), 280) + N(L197) * IF(N(O197)&gt;1, N(O197), 1) * IFERROR(VLOOKUP(H197, Relic_Price_Config!$G$5:$N$100, 5, FALSE), 10) + ABS(N(R197)) * IFERROR(VLOOKUP(H197, Relic_Price_Config!$G$5:$N$100, 6, FALSE), 15) + IF(N(S197)&gt;1, (N(S197)-1)*10, 0)) * IFERROR(VLOOKUP(G197, Relic_Price_Config!$A$5:$E$9, 2, FALSE), 1), 0))) * 0.1) / 5, 0) * 5)</f>
        <v>70</v>
      </c>
      <c r="AB197" s="2">
        <f t="shared" si="3"/>
        <v>50</v>
      </c>
    </row>
    <row r="198" spans="1:28" ht="24" customHeight="1">
      <c r="A198" s="5" t="s">
        <v>1033</v>
      </c>
      <c r="B198" s="5" t="s">
        <v>1034</v>
      </c>
      <c r="C198" s="9" t="s">
        <v>1035</v>
      </c>
      <c r="D198" s="5" t="s">
        <v>92</v>
      </c>
      <c r="E198" s="2" t="s">
        <v>115</v>
      </c>
      <c r="F198" s="5" t="s">
        <v>33</v>
      </c>
      <c r="G198" s="5" t="s">
        <v>295</v>
      </c>
      <c r="H198" s="5" t="s">
        <v>356</v>
      </c>
      <c r="I198" s="5" t="s">
        <v>108</v>
      </c>
      <c r="J198" s="5">
        <v>0</v>
      </c>
      <c r="K198" s="5">
        <v>1</v>
      </c>
      <c r="L198" s="5">
        <v>16</v>
      </c>
      <c r="M198" s="5" t="s">
        <v>37</v>
      </c>
      <c r="N198" s="5">
        <v>1</v>
      </c>
      <c r="O198" s="5">
        <v>1</v>
      </c>
      <c r="P198" s="5">
        <v>0</v>
      </c>
      <c r="Q198" s="5" t="s">
        <v>357</v>
      </c>
      <c r="R198" s="5">
        <v>1</v>
      </c>
      <c r="S198" s="5">
        <v>2</v>
      </c>
      <c r="T198" s="5">
        <v>0</v>
      </c>
      <c r="U198" s="5"/>
      <c r="V198" s="5"/>
      <c r="W198" s="5"/>
      <c r="X198" s="5"/>
      <c r="Y198" s="6" t="s">
        <v>1036</v>
      </c>
      <c r="Z198" s="6" t="s">
        <v>1032</v>
      </c>
      <c r="AA198" s="5">
        <f>IF(OR(D198="Monster", E198="Basic"), 0, ROUND((MIN(IFERROR(VLOOKUP(G198, Relic_Price_Config!$A$5:$E$9, 4, FALSE), 350), MAX(IFERROR(VLOOKUP(G198, Relic_Price_Config!$A$5:$E$9, 3, FALSE), 210), ROUND((IFERROR(VLOOKUP(H198, Relic_Price_Config!$G$5:$N$100, 4, FALSE), 280) + N(L198) * IF(N(O198)&gt;1, N(O198), 1) * IFERROR(VLOOKUP(H198, Relic_Price_Config!$G$5:$N$100, 5, FALSE), 10) + ABS(N(R198)) * IFERROR(VLOOKUP(H198, Relic_Price_Config!$G$5:$N$100, 6, FALSE), 15) + IF(N(S198)&gt;1, (N(S198)-1)*10, 0)) * IFERROR(VLOOKUP(G198, Relic_Price_Config!$A$5:$E$9, 2, FALSE), 1), 0))) * 0.1) / 5, 0) * 5)</f>
        <v>70</v>
      </c>
      <c r="AB198" s="5">
        <f t="shared" si="3"/>
        <v>50</v>
      </c>
    </row>
    <row r="199" spans="1:28" ht="24" customHeight="1">
      <c r="A199" s="2" t="s">
        <v>1037</v>
      </c>
      <c r="B199" s="2" t="s">
        <v>1038</v>
      </c>
      <c r="C199" s="3" t="s">
        <v>1039</v>
      </c>
      <c r="D199" s="2" t="s">
        <v>92</v>
      </c>
      <c r="E199" s="2" t="s">
        <v>115</v>
      </c>
      <c r="F199" s="2" t="s">
        <v>33</v>
      </c>
      <c r="G199" s="2" t="s">
        <v>295</v>
      </c>
      <c r="H199" s="2" t="s">
        <v>335</v>
      </c>
      <c r="I199" s="2" t="s">
        <v>108</v>
      </c>
      <c r="J199" s="2">
        <v>0</v>
      </c>
      <c r="K199" s="2">
        <v>1</v>
      </c>
      <c r="L199" s="2">
        <v>16</v>
      </c>
      <c r="M199" s="2" t="s">
        <v>37</v>
      </c>
      <c r="N199" s="2">
        <v>1</v>
      </c>
      <c r="O199" s="2">
        <v>1</v>
      </c>
      <c r="P199" s="2">
        <v>10</v>
      </c>
      <c r="Q199" s="2"/>
      <c r="R199" s="2">
        <v>0</v>
      </c>
      <c r="S199" s="2">
        <v>0</v>
      </c>
      <c r="T199" s="2">
        <v>0</v>
      </c>
      <c r="U199" s="2"/>
      <c r="V199" s="2"/>
      <c r="W199" s="2"/>
      <c r="X199" s="2"/>
      <c r="Y199" s="3" t="s">
        <v>1040</v>
      </c>
      <c r="Z199" s="3" t="s">
        <v>1041</v>
      </c>
      <c r="AA199" s="2">
        <f>IF(OR(D199="Monster", E199="Basic"), 0, ROUND((MIN(IFERROR(VLOOKUP(G199, Relic_Price_Config!$A$5:$E$9, 4, FALSE), 350), MAX(IFERROR(VLOOKUP(G199, Relic_Price_Config!$A$5:$E$9, 3, FALSE), 210), ROUND((IFERROR(VLOOKUP(H199, Relic_Price_Config!$G$5:$N$100, 4, FALSE), 280) + N(L199) * IF(N(O199)&gt;1, N(O199), 1) * IFERROR(VLOOKUP(H199, Relic_Price_Config!$G$5:$N$100, 5, FALSE), 10) + ABS(N(R199)) * IFERROR(VLOOKUP(H199, Relic_Price_Config!$G$5:$N$100, 6, FALSE), 15) + IF(N(S199)&gt;1, (N(S199)-1)*10, 0)) * IFERROR(VLOOKUP(G199, Relic_Price_Config!$A$5:$E$9, 2, FALSE), 1), 0))) * 0.1) / 5, 0) * 5)</f>
        <v>70</v>
      </c>
      <c r="AB199" s="2">
        <f t="shared" si="3"/>
        <v>50</v>
      </c>
    </row>
    <row r="200" spans="1:28" ht="24" customHeight="1">
      <c r="A200" s="5" t="s">
        <v>1042</v>
      </c>
      <c r="B200" s="5" t="s">
        <v>1043</v>
      </c>
      <c r="C200" s="6" t="s">
        <v>1044</v>
      </c>
      <c r="D200" s="11" t="s">
        <v>1045</v>
      </c>
      <c r="E200" s="11" t="s">
        <v>1046</v>
      </c>
      <c r="F200" s="11" t="s">
        <v>33</v>
      </c>
      <c r="G200" s="11" t="s">
        <v>34</v>
      </c>
      <c r="H200" s="5" t="s">
        <v>652</v>
      </c>
      <c r="I200" s="5" t="s">
        <v>108</v>
      </c>
      <c r="J200" s="5">
        <v>0</v>
      </c>
      <c r="K200" s="5">
        <v>0</v>
      </c>
      <c r="L200" s="5">
        <v>5</v>
      </c>
      <c r="M200" s="5" t="s">
        <v>37</v>
      </c>
      <c r="N200" s="5">
        <v>1</v>
      </c>
      <c r="O200" s="5">
        <v>1</v>
      </c>
      <c r="P200" s="5">
        <v>0</v>
      </c>
      <c r="Q200" s="5" t="s">
        <v>38</v>
      </c>
      <c r="R200" s="5">
        <v>0</v>
      </c>
      <c r="S200" s="5">
        <v>0</v>
      </c>
      <c r="T200" s="5">
        <v>0</v>
      </c>
      <c r="U200" s="5"/>
      <c r="V200" s="5"/>
      <c r="W200" s="5"/>
      <c r="X200" s="5"/>
      <c r="Y200" s="6" t="s">
        <v>1047</v>
      </c>
      <c r="Z200" s="12" t="s">
        <v>1048</v>
      </c>
      <c r="AA200" s="5">
        <f>IF(OR(D200="Monster", E200="Basic"), 0, ROUND((MIN(IFERROR(VLOOKUP(G200, Relic_Price_Config!$A$5:$E$9, 4, FALSE), 350), MAX(IFERROR(VLOOKUP(G200, Relic_Price_Config!$A$5:$E$9, 3, FALSE), 210), ROUND((IFERROR(VLOOKUP(H200, Relic_Price_Config!$G$5:$N$100, 4, FALSE), 280) + N(L200) * IF(N(O200)&gt;1, N(O200), 1) * IFERROR(VLOOKUP(H200, Relic_Price_Config!$G$5:$N$100, 5, FALSE), 10) + ABS(N(R200)) * IFERROR(VLOOKUP(H200, Relic_Price_Config!$G$5:$N$100, 6, FALSE), 15) + IF(N(S200)&gt;1, (N(S200)-1)*10, 0)) * IFERROR(VLOOKUP(G200, Relic_Price_Config!$A$5:$E$9, 2, FALSE), 1), 0))) * 0.1) / 5, 0) * 5)</f>
        <v>0</v>
      </c>
      <c r="AB200" s="5">
        <f t="shared" si="3"/>
        <v>0</v>
      </c>
    </row>
    <row r="201" spans="1:28" ht="24" customHeight="1">
      <c r="A201" s="2" t="s">
        <v>1049</v>
      </c>
      <c r="B201" s="2" t="s">
        <v>1050</v>
      </c>
      <c r="C201" s="3" t="s">
        <v>1051</v>
      </c>
      <c r="D201" s="2" t="s">
        <v>1045</v>
      </c>
      <c r="E201" s="2" t="s">
        <v>1046</v>
      </c>
      <c r="F201" s="2" t="s">
        <v>43</v>
      </c>
      <c r="G201" s="2" t="s">
        <v>34</v>
      </c>
      <c r="H201" s="2" t="s">
        <v>44</v>
      </c>
      <c r="I201" s="2" t="s">
        <v>45</v>
      </c>
      <c r="J201" s="2">
        <v>0</v>
      </c>
      <c r="K201" s="2">
        <v>0</v>
      </c>
      <c r="L201" s="2">
        <v>5</v>
      </c>
      <c r="M201" s="2" t="s">
        <v>46</v>
      </c>
      <c r="N201" s="2">
        <v>1</v>
      </c>
      <c r="O201" s="2">
        <v>1</v>
      </c>
      <c r="P201" s="2">
        <v>0</v>
      </c>
      <c r="Q201" s="2" t="s">
        <v>38</v>
      </c>
      <c r="R201" s="2">
        <v>0</v>
      </c>
      <c r="S201" s="2">
        <v>0</v>
      </c>
      <c r="T201" s="2">
        <v>0</v>
      </c>
      <c r="U201" s="2"/>
      <c r="V201" s="2"/>
      <c r="W201" s="2"/>
      <c r="X201" s="2"/>
      <c r="Y201" s="3" t="s">
        <v>1052</v>
      </c>
      <c r="Z201" s="10" t="s">
        <v>1048</v>
      </c>
      <c r="AA201" s="2">
        <f>IF(OR(D201="Monster", E201="Basic"), 0, ROUND((MIN(IFERROR(VLOOKUP(G201, Relic_Price_Config!$A$5:$E$9, 4, FALSE), 350), MAX(IFERROR(VLOOKUP(G201, Relic_Price_Config!$A$5:$E$9, 3, FALSE), 210), ROUND((IFERROR(VLOOKUP(H201, Relic_Price_Config!$G$5:$N$100, 4, FALSE), 280) + N(L201) * IF(N(O201)&gt;1, N(O201), 1) * IFERROR(VLOOKUP(H201, Relic_Price_Config!$G$5:$N$100, 5, FALSE), 10) + ABS(N(R201)) * IFERROR(VLOOKUP(H201, Relic_Price_Config!$G$5:$N$100, 6, FALSE), 15) + IF(N(S201)&gt;1, (N(S201)-1)*10, 0)) * IFERROR(VLOOKUP(G201, Relic_Price_Config!$A$5:$E$9, 2, FALSE), 1), 0))) * 0.1) / 5, 0) * 5)</f>
        <v>0</v>
      </c>
      <c r="AB201" s="2">
        <f t="shared" si="3"/>
        <v>0</v>
      </c>
    </row>
    <row r="202" spans="1:28">
      <c r="A202" s="5" t="s">
        <v>1053</v>
      </c>
      <c r="B202" s="5" t="s">
        <v>1054</v>
      </c>
      <c r="C202" s="6" t="s">
        <v>1055</v>
      </c>
      <c r="D202" s="5" t="s">
        <v>1045</v>
      </c>
      <c r="E202" s="11" t="s">
        <v>1046</v>
      </c>
      <c r="F202" s="11" t="s">
        <v>51</v>
      </c>
      <c r="G202" s="11" t="s">
        <v>34</v>
      </c>
      <c r="H202" s="5" t="s">
        <v>624</v>
      </c>
      <c r="I202" s="5" t="s">
        <v>504</v>
      </c>
      <c r="J202" s="5">
        <v>0</v>
      </c>
      <c r="K202" s="5">
        <v>0</v>
      </c>
      <c r="L202" s="5">
        <v>5</v>
      </c>
      <c r="M202" s="5" t="s">
        <v>46</v>
      </c>
      <c r="N202" s="5">
        <v>1</v>
      </c>
      <c r="O202" s="5">
        <v>1</v>
      </c>
      <c r="P202" s="5">
        <v>0</v>
      </c>
      <c r="Q202" s="5" t="s">
        <v>38</v>
      </c>
      <c r="R202" s="5">
        <v>0</v>
      </c>
      <c r="S202" s="5">
        <v>0</v>
      </c>
      <c r="T202" s="5">
        <v>0</v>
      </c>
      <c r="U202" s="5"/>
      <c r="V202" s="5"/>
      <c r="W202" s="5"/>
      <c r="X202" s="5"/>
      <c r="Y202" s="6" t="s">
        <v>1056</v>
      </c>
      <c r="Z202" s="12" t="s">
        <v>1048</v>
      </c>
      <c r="AA202" s="5">
        <f>IF(OR(D202="Monster", E202="Basic"), 0, ROUND((MIN(IFERROR(VLOOKUP(G202, Relic_Price_Config!$A$5:$E$9, 4, FALSE), 350), MAX(IFERROR(VLOOKUP(G202, Relic_Price_Config!$A$5:$E$9, 3, FALSE), 210), ROUND((IFERROR(VLOOKUP(H202, Relic_Price_Config!$G$5:$N$100, 4, FALSE), 280) + N(L202) * IF(N(O202)&gt;1, N(O202), 1) * IFERROR(VLOOKUP(H202, Relic_Price_Config!$G$5:$N$100, 5, FALSE), 10) + ABS(N(R202)) * IFERROR(VLOOKUP(H202, Relic_Price_Config!$G$5:$N$100, 6, FALSE), 15) + IF(N(S202)&gt;1, (N(S202)-1)*10, 0)) * IFERROR(VLOOKUP(G202, Relic_Price_Config!$A$5:$E$9, 2, FALSE), 1), 0))) * 0.1) / 5, 0) * 5)</f>
        <v>0</v>
      </c>
      <c r="AB202" s="5">
        <f t="shared" si="3"/>
        <v>0</v>
      </c>
    </row>
    <row r="203" spans="1:28" ht="24" customHeight="1">
      <c r="A203" s="2" t="s">
        <v>1057</v>
      </c>
      <c r="B203" s="2" t="s">
        <v>1058</v>
      </c>
      <c r="C203" s="10" t="s">
        <v>1059</v>
      </c>
      <c r="D203" s="2" t="s">
        <v>1045</v>
      </c>
      <c r="E203" s="2" t="s">
        <v>1046</v>
      </c>
      <c r="F203" s="2" t="s">
        <v>33</v>
      </c>
      <c r="G203" s="2" t="s">
        <v>34</v>
      </c>
      <c r="H203" s="2" t="s">
        <v>309</v>
      </c>
      <c r="I203" s="2" t="s">
        <v>108</v>
      </c>
      <c r="J203" s="2">
        <v>0</v>
      </c>
      <c r="K203" s="2">
        <v>0</v>
      </c>
      <c r="L203" s="2">
        <v>5</v>
      </c>
      <c r="M203" s="2" t="s">
        <v>37</v>
      </c>
      <c r="N203" s="2">
        <v>1</v>
      </c>
      <c r="O203" s="2">
        <v>1</v>
      </c>
      <c r="P203" s="2">
        <v>0</v>
      </c>
      <c r="Q203" s="2" t="s">
        <v>130</v>
      </c>
      <c r="R203" s="2">
        <v>1</v>
      </c>
      <c r="S203" s="2">
        <v>1</v>
      </c>
      <c r="T203" s="2">
        <v>0</v>
      </c>
      <c r="U203" s="2"/>
      <c r="V203" s="2"/>
      <c r="W203" s="2"/>
      <c r="X203" s="2"/>
      <c r="Y203" s="3" t="s">
        <v>1060</v>
      </c>
      <c r="Z203" s="10" t="s">
        <v>1048</v>
      </c>
      <c r="AA203" s="2">
        <f>IF(OR(D203="Monster", E203="Basic"), 0, ROUND((MIN(IFERROR(VLOOKUP(G203, Relic_Price_Config!$A$5:$E$9, 4, FALSE), 350), MAX(IFERROR(VLOOKUP(G203, Relic_Price_Config!$A$5:$E$9, 3, FALSE), 210), ROUND((IFERROR(VLOOKUP(H203, Relic_Price_Config!$G$5:$N$100, 4, FALSE), 280) + N(L203) * IF(N(O203)&gt;1, N(O203), 1) * IFERROR(VLOOKUP(H203, Relic_Price_Config!$G$5:$N$100, 5, FALSE), 10) + ABS(N(R203)) * IFERROR(VLOOKUP(H203, Relic_Price_Config!$G$5:$N$100, 6, FALSE), 15) + IF(N(S203)&gt;1, (N(S203)-1)*10, 0)) * IFERROR(VLOOKUP(G203, Relic_Price_Config!$A$5:$E$9, 2, FALSE), 1), 0))) * 0.1) / 5, 0) * 5)</f>
        <v>0</v>
      </c>
      <c r="AB203" s="2">
        <f t="shared" si="3"/>
        <v>0</v>
      </c>
    </row>
    <row r="204" spans="1:28" ht="24" customHeight="1">
      <c r="A204" s="5" t="s">
        <v>1061</v>
      </c>
      <c r="B204" s="5" t="s">
        <v>1062</v>
      </c>
      <c r="C204" s="12" t="s">
        <v>1063</v>
      </c>
      <c r="D204" s="5" t="s">
        <v>1045</v>
      </c>
      <c r="E204" s="11" t="s">
        <v>1046</v>
      </c>
      <c r="F204" s="11" t="s">
        <v>33</v>
      </c>
      <c r="G204" s="11" t="s">
        <v>34</v>
      </c>
      <c r="H204" s="5" t="s">
        <v>489</v>
      </c>
      <c r="I204" s="5" t="s">
        <v>108</v>
      </c>
      <c r="J204" s="5">
        <v>0</v>
      </c>
      <c r="K204" s="5">
        <v>0</v>
      </c>
      <c r="L204" s="5">
        <v>5</v>
      </c>
      <c r="M204" s="5" t="s">
        <v>37</v>
      </c>
      <c r="N204" s="5">
        <v>1</v>
      </c>
      <c r="O204" s="5">
        <v>1</v>
      </c>
      <c r="P204" s="5">
        <v>0</v>
      </c>
      <c r="Q204" s="5" t="s">
        <v>109</v>
      </c>
      <c r="R204" s="5">
        <v>3</v>
      </c>
      <c r="S204" s="5">
        <v>2</v>
      </c>
      <c r="T204" s="5">
        <v>0</v>
      </c>
      <c r="U204" s="5"/>
      <c r="V204" s="5"/>
      <c r="W204" s="5"/>
      <c r="X204" s="5"/>
      <c r="Y204" s="6" t="s">
        <v>1064</v>
      </c>
      <c r="Z204" s="12" t="s">
        <v>1048</v>
      </c>
      <c r="AA204" s="5">
        <f>IF(OR(D204="Monster", E204="Basic"), 0, ROUND((MIN(IFERROR(VLOOKUP(G204, Relic_Price_Config!$A$5:$E$9, 4, FALSE), 350), MAX(IFERROR(VLOOKUP(G204, Relic_Price_Config!$A$5:$E$9, 3, FALSE), 210), ROUND((IFERROR(VLOOKUP(H204, Relic_Price_Config!$G$5:$N$100, 4, FALSE), 280) + N(L204) * IF(N(O204)&gt;1, N(O204), 1) * IFERROR(VLOOKUP(H204, Relic_Price_Config!$G$5:$N$100, 5, FALSE), 10) + ABS(N(R204)) * IFERROR(VLOOKUP(H204, Relic_Price_Config!$G$5:$N$100, 6, FALSE), 15) + IF(N(S204)&gt;1, (N(S204)-1)*10, 0)) * IFERROR(VLOOKUP(G204, Relic_Price_Config!$A$5:$E$9, 2, FALSE), 1), 0))) * 0.1) / 5, 0) * 5)</f>
        <v>0</v>
      </c>
      <c r="AB204" s="5">
        <f t="shared" si="3"/>
        <v>0</v>
      </c>
    </row>
    <row r="205" spans="1:28" ht="24" customHeight="1">
      <c r="A205" s="2" t="s">
        <v>1065</v>
      </c>
      <c r="B205" s="2" t="s">
        <v>1066</v>
      </c>
      <c r="C205" s="10" t="s">
        <v>1067</v>
      </c>
      <c r="D205" s="2" t="s">
        <v>1045</v>
      </c>
      <c r="E205" s="2" t="s">
        <v>1046</v>
      </c>
      <c r="F205" s="2" t="s">
        <v>33</v>
      </c>
      <c r="G205" s="2" t="s">
        <v>34</v>
      </c>
      <c r="H205" s="2" t="s">
        <v>412</v>
      </c>
      <c r="I205" s="2" t="s">
        <v>108</v>
      </c>
      <c r="J205" s="2">
        <v>0</v>
      </c>
      <c r="K205" s="2">
        <v>0</v>
      </c>
      <c r="L205" s="2">
        <v>5</v>
      </c>
      <c r="M205" s="2" t="s">
        <v>37</v>
      </c>
      <c r="N205" s="2">
        <v>1</v>
      </c>
      <c r="O205" s="2">
        <v>1</v>
      </c>
      <c r="P205" s="2">
        <v>0</v>
      </c>
      <c r="Q205" s="2" t="s">
        <v>413</v>
      </c>
      <c r="R205" s="2">
        <v>1</v>
      </c>
      <c r="S205" s="2">
        <v>1</v>
      </c>
      <c r="T205" s="2">
        <v>0</v>
      </c>
      <c r="U205" s="2"/>
      <c r="V205" s="2"/>
      <c r="W205" s="2"/>
      <c r="X205" s="2"/>
      <c r="Y205" s="3" t="s">
        <v>1068</v>
      </c>
      <c r="Z205" s="10" t="s">
        <v>1048</v>
      </c>
      <c r="AA205" s="2">
        <f>IF(OR(D205="Monster", E205="Basic"), 0, ROUND((MIN(IFERROR(VLOOKUP(G205, Relic_Price_Config!$A$5:$E$9, 4, FALSE), 350), MAX(IFERROR(VLOOKUP(G205, Relic_Price_Config!$A$5:$E$9, 3, FALSE), 210), ROUND((IFERROR(VLOOKUP(H205, Relic_Price_Config!$G$5:$N$100, 4, FALSE), 280) + N(L205) * IF(N(O205)&gt;1, N(O205), 1) * IFERROR(VLOOKUP(H205, Relic_Price_Config!$G$5:$N$100, 5, FALSE), 10) + ABS(N(R205)) * IFERROR(VLOOKUP(H205, Relic_Price_Config!$G$5:$N$100, 6, FALSE), 15) + IF(N(S205)&gt;1, (N(S205)-1)*10, 0)) * IFERROR(VLOOKUP(G205, Relic_Price_Config!$A$5:$E$9, 2, FALSE), 1), 0))) * 0.1) / 5, 0) * 5)</f>
        <v>0</v>
      </c>
      <c r="AB205" s="2">
        <f t="shared" si="3"/>
        <v>0</v>
      </c>
    </row>
    <row r="206" spans="1:28">
      <c r="A206" s="5" t="s">
        <v>1069</v>
      </c>
      <c r="B206" s="5" t="s">
        <v>1070</v>
      </c>
      <c r="C206" s="12" t="s">
        <v>1071</v>
      </c>
      <c r="D206" s="11" t="s">
        <v>1045</v>
      </c>
      <c r="E206" s="11" t="s">
        <v>1046</v>
      </c>
      <c r="F206" s="11" t="s">
        <v>33</v>
      </c>
      <c r="G206" s="11" t="s">
        <v>34</v>
      </c>
      <c r="H206" s="5" t="s">
        <v>652</v>
      </c>
      <c r="I206" s="5" t="s">
        <v>108</v>
      </c>
      <c r="J206" s="5">
        <v>0</v>
      </c>
      <c r="K206" s="5">
        <v>0</v>
      </c>
      <c r="L206" s="5">
        <v>7</v>
      </c>
      <c r="M206" s="5" t="s">
        <v>37</v>
      </c>
      <c r="N206" s="5">
        <v>1</v>
      </c>
      <c r="O206" s="5">
        <v>1</v>
      </c>
      <c r="P206" s="5">
        <v>0</v>
      </c>
      <c r="Q206" s="5" t="s">
        <v>38</v>
      </c>
      <c r="R206" s="5">
        <v>0</v>
      </c>
      <c r="S206" s="5">
        <v>0</v>
      </c>
      <c r="T206" s="5">
        <v>0</v>
      </c>
      <c r="U206" s="5"/>
      <c r="V206" s="5"/>
      <c r="W206" s="5"/>
      <c r="X206" s="5"/>
      <c r="Y206" s="6" t="s">
        <v>1072</v>
      </c>
      <c r="Z206" s="12" t="s">
        <v>1048</v>
      </c>
      <c r="AA206" s="5">
        <f>IF(OR(D206="Monster", E206="Basic"), 0, ROUND((MIN(IFERROR(VLOOKUP(G206, Relic_Price_Config!$A$5:$E$9, 4, FALSE), 350), MAX(IFERROR(VLOOKUP(G206, Relic_Price_Config!$A$5:$E$9, 3, FALSE), 210), ROUND((IFERROR(VLOOKUP(H206, Relic_Price_Config!$G$5:$N$100, 4, FALSE), 280) + N(L206) * IF(N(O206)&gt;1, N(O206), 1) * IFERROR(VLOOKUP(H206, Relic_Price_Config!$G$5:$N$100, 5, FALSE), 10) + ABS(N(R206)) * IFERROR(VLOOKUP(H206, Relic_Price_Config!$G$5:$N$100, 6, FALSE), 15) + IF(N(S206)&gt;1, (N(S206)-1)*10, 0)) * IFERROR(VLOOKUP(G206, Relic_Price_Config!$A$5:$E$9, 2, FALSE), 1), 0))) * 0.1) / 5, 0) * 5)</f>
        <v>0</v>
      </c>
      <c r="AB206" s="5">
        <f t="shared" si="3"/>
        <v>0</v>
      </c>
    </row>
    <row r="207" spans="1:28" ht="24">
      <c r="A207" s="2" t="s">
        <v>1073</v>
      </c>
      <c r="B207" s="2" t="s">
        <v>1074</v>
      </c>
      <c r="C207" s="10" t="s">
        <v>1075</v>
      </c>
      <c r="D207" s="2" t="s">
        <v>1045</v>
      </c>
      <c r="E207" s="2" t="s">
        <v>1046</v>
      </c>
      <c r="F207" s="2" t="s">
        <v>51</v>
      </c>
      <c r="G207" s="2" t="s">
        <v>34</v>
      </c>
      <c r="H207" s="2" t="s">
        <v>1076</v>
      </c>
      <c r="I207" s="2" t="s">
        <v>45</v>
      </c>
      <c r="J207" s="2">
        <v>0</v>
      </c>
      <c r="K207" s="2">
        <v>0</v>
      </c>
      <c r="L207" s="2">
        <v>0</v>
      </c>
      <c r="M207" s="2" t="s">
        <v>46</v>
      </c>
      <c r="N207" s="2">
        <v>1</v>
      </c>
      <c r="O207" s="2">
        <v>1</v>
      </c>
      <c r="P207" s="2">
        <v>0</v>
      </c>
      <c r="Q207" s="2" t="s">
        <v>322</v>
      </c>
      <c r="R207" s="2">
        <v>1</v>
      </c>
      <c r="S207" s="2">
        <v>1</v>
      </c>
      <c r="T207" s="2">
        <v>0</v>
      </c>
      <c r="U207" s="2"/>
      <c r="V207" s="2"/>
      <c r="W207" s="2"/>
      <c r="X207" s="2"/>
      <c r="Y207" s="3" t="s">
        <v>1077</v>
      </c>
      <c r="Z207" s="10" t="s">
        <v>1078</v>
      </c>
      <c r="AA207" s="2">
        <f>IF(OR(D207="Monster", E207="Basic"), 0, ROUND((MIN(IFERROR(VLOOKUP(G207, Relic_Price_Config!$A$5:$E$9, 4, FALSE), 350), MAX(IFERROR(VLOOKUP(G207, Relic_Price_Config!$A$5:$E$9, 3, FALSE), 210), ROUND((IFERROR(VLOOKUP(H207, Relic_Price_Config!$G$5:$N$100, 4, FALSE), 280) + N(L207) * IF(N(O207)&gt;1, N(O207), 1) * IFERROR(VLOOKUP(H207, Relic_Price_Config!$G$5:$N$100, 5, FALSE), 10) + ABS(N(R207)) * IFERROR(VLOOKUP(H207, Relic_Price_Config!$G$5:$N$100, 6, FALSE), 15) + IF(N(S207)&gt;1, (N(S207)-1)*10, 0)) * IFERROR(VLOOKUP(G207, Relic_Price_Config!$A$5:$E$9, 2, FALSE), 1), 0))) * 0.1) / 5, 0) * 5)</f>
        <v>0</v>
      </c>
      <c r="AB207" s="2">
        <f t="shared" si="3"/>
        <v>0</v>
      </c>
    </row>
    <row r="208" spans="1:28">
      <c r="A208" s="5" t="s">
        <v>1079</v>
      </c>
      <c r="B208" s="5" t="s">
        <v>1080</v>
      </c>
      <c r="C208" s="12" t="s">
        <v>1081</v>
      </c>
      <c r="D208" s="11" t="s">
        <v>1045</v>
      </c>
      <c r="E208" s="11" t="s">
        <v>1046</v>
      </c>
      <c r="F208" s="11" t="s">
        <v>33</v>
      </c>
      <c r="G208" s="11" t="s">
        <v>34</v>
      </c>
      <c r="H208" s="5" t="s">
        <v>652</v>
      </c>
      <c r="I208" s="5" t="s">
        <v>108</v>
      </c>
      <c r="J208" s="5">
        <v>0</v>
      </c>
      <c r="K208" s="5">
        <v>0</v>
      </c>
      <c r="L208" s="5">
        <v>8</v>
      </c>
      <c r="M208" s="5" t="s">
        <v>37</v>
      </c>
      <c r="N208" s="5">
        <v>1</v>
      </c>
      <c r="O208" s="5">
        <v>1</v>
      </c>
      <c r="P208" s="5">
        <v>0</v>
      </c>
      <c r="Q208" s="5" t="s">
        <v>38</v>
      </c>
      <c r="R208" s="5">
        <v>0</v>
      </c>
      <c r="S208" s="5">
        <v>0</v>
      </c>
      <c r="T208" s="5">
        <v>0</v>
      </c>
      <c r="U208" s="5"/>
      <c r="V208" s="5"/>
      <c r="W208" s="5"/>
      <c r="X208" s="5"/>
      <c r="Y208" s="6" t="s">
        <v>1082</v>
      </c>
      <c r="Z208" s="12" t="s">
        <v>1078</v>
      </c>
      <c r="AA208" s="5">
        <f>IF(OR(D208="Monster", E208="Basic"), 0, ROUND((MIN(IFERROR(VLOOKUP(G208, Relic_Price_Config!$A$5:$E$9, 4, FALSE), 350), MAX(IFERROR(VLOOKUP(G208, Relic_Price_Config!$A$5:$E$9, 3, FALSE), 210), ROUND((IFERROR(VLOOKUP(H208, Relic_Price_Config!$G$5:$N$100, 4, FALSE), 280) + N(L208) * IF(N(O208)&gt;1, N(O208), 1) * IFERROR(VLOOKUP(H208, Relic_Price_Config!$G$5:$N$100, 5, FALSE), 10) + ABS(N(R208)) * IFERROR(VLOOKUP(H208, Relic_Price_Config!$G$5:$N$100, 6, FALSE), 15) + IF(N(S208)&gt;1, (N(S208)-1)*10, 0)) * IFERROR(VLOOKUP(G208, Relic_Price_Config!$A$5:$E$9, 2, FALSE), 1), 0))) * 0.1) / 5, 0) * 5)</f>
        <v>0</v>
      </c>
      <c r="AB208" s="5">
        <f t="shared" si="3"/>
        <v>0</v>
      </c>
    </row>
    <row r="209" spans="1:28" ht="24" customHeight="1">
      <c r="A209" s="2" t="s">
        <v>1083</v>
      </c>
      <c r="B209" s="2" t="s">
        <v>1084</v>
      </c>
      <c r="C209" s="10" t="s">
        <v>1085</v>
      </c>
      <c r="D209" s="2" t="s">
        <v>1045</v>
      </c>
      <c r="E209" s="2" t="s">
        <v>1046</v>
      </c>
      <c r="F209" s="2" t="s">
        <v>33</v>
      </c>
      <c r="G209" s="2" t="s">
        <v>34</v>
      </c>
      <c r="H209" s="2" t="s">
        <v>1086</v>
      </c>
      <c r="I209" s="2" t="s">
        <v>108</v>
      </c>
      <c r="J209" s="2">
        <v>0</v>
      </c>
      <c r="K209" s="2">
        <v>0</v>
      </c>
      <c r="L209" s="2">
        <v>8</v>
      </c>
      <c r="M209" s="2" t="s">
        <v>37</v>
      </c>
      <c r="N209" s="2">
        <v>1</v>
      </c>
      <c r="O209" s="2">
        <v>1</v>
      </c>
      <c r="P209" s="2">
        <v>0</v>
      </c>
      <c r="Q209" s="2" t="s">
        <v>425</v>
      </c>
      <c r="R209" s="2">
        <v>1</v>
      </c>
      <c r="S209" s="2">
        <v>1</v>
      </c>
      <c r="T209" s="2">
        <v>0</v>
      </c>
      <c r="U209" s="2"/>
      <c r="V209" s="2"/>
      <c r="W209" s="2"/>
      <c r="X209" s="2"/>
      <c r="Y209" s="3" t="s">
        <v>1087</v>
      </c>
      <c r="Z209" s="10" t="s">
        <v>1078</v>
      </c>
      <c r="AA209" s="2">
        <f>IF(OR(D209="Monster", E209="Basic"), 0, ROUND((MIN(IFERROR(VLOOKUP(G209, Relic_Price_Config!$A$5:$E$9, 4, FALSE), 350), MAX(IFERROR(VLOOKUP(G209, Relic_Price_Config!$A$5:$E$9, 3, FALSE), 210), ROUND((IFERROR(VLOOKUP(H209, Relic_Price_Config!$G$5:$N$100, 4, FALSE), 280) + N(L209) * IF(N(O209)&gt;1, N(O209), 1) * IFERROR(VLOOKUP(H209, Relic_Price_Config!$G$5:$N$100, 5, FALSE), 10) + ABS(N(R209)) * IFERROR(VLOOKUP(H209, Relic_Price_Config!$G$5:$N$100, 6, FALSE), 15) + IF(N(S209)&gt;1, (N(S209)-1)*10, 0)) * IFERROR(VLOOKUP(G209, Relic_Price_Config!$A$5:$E$9, 2, FALSE), 1), 0))) * 0.1) / 5, 0) * 5)</f>
        <v>0</v>
      </c>
      <c r="AB209" s="2">
        <f t="shared" si="3"/>
        <v>0</v>
      </c>
    </row>
    <row r="210" spans="1:28" ht="24">
      <c r="A210" s="5" t="s">
        <v>1088</v>
      </c>
      <c r="B210" s="5" t="s">
        <v>1089</v>
      </c>
      <c r="C210" s="12" t="s">
        <v>1090</v>
      </c>
      <c r="D210" s="11" t="s">
        <v>1045</v>
      </c>
      <c r="E210" s="11" t="s">
        <v>1046</v>
      </c>
      <c r="F210" s="11" t="s">
        <v>51</v>
      </c>
      <c r="G210" s="11" t="s">
        <v>34</v>
      </c>
      <c r="H210" s="5" t="s">
        <v>1091</v>
      </c>
      <c r="I210" s="5" t="s">
        <v>108</v>
      </c>
      <c r="J210" s="5">
        <v>0</v>
      </c>
      <c r="K210" s="5">
        <v>0</v>
      </c>
      <c r="L210" s="5">
        <v>0</v>
      </c>
      <c r="M210" s="5" t="s">
        <v>38</v>
      </c>
      <c r="N210" s="5">
        <v>1</v>
      </c>
      <c r="O210" s="5">
        <v>1</v>
      </c>
      <c r="P210" s="5">
        <v>0</v>
      </c>
      <c r="Q210" s="5" t="s">
        <v>357</v>
      </c>
      <c r="R210" s="5">
        <v>1</v>
      </c>
      <c r="S210" s="5">
        <v>1</v>
      </c>
      <c r="T210" s="5">
        <v>0</v>
      </c>
      <c r="U210" s="5"/>
      <c r="V210" s="5"/>
      <c r="W210" s="5"/>
      <c r="X210" s="5"/>
      <c r="Y210" s="6" t="s">
        <v>1092</v>
      </c>
      <c r="Z210" s="12" t="s">
        <v>1078</v>
      </c>
      <c r="AA210" s="5">
        <f>IF(OR(D210="Monster", E210="Basic"), 0, ROUND((MIN(IFERROR(VLOOKUP(G210, Relic_Price_Config!$A$5:$E$9, 4, FALSE), 350), MAX(IFERROR(VLOOKUP(G210, Relic_Price_Config!$A$5:$E$9, 3, FALSE), 210), ROUND((IFERROR(VLOOKUP(H210, Relic_Price_Config!$G$5:$N$100, 4, FALSE), 280) + N(L210) * IF(N(O210)&gt;1, N(O210), 1) * IFERROR(VLOOKUP(H210, Relic_Price_Config!$G$5:$N$100, 5, FALSE), 10) + ABS(N(R210)) * IFERROR(VLOOKUP(H210, Relic_Price_Config!$G$5:$N$100, 6, FALSE), 15) + IF(N(S210)&gt;1, (N(S210)-1)*10, 0)) * IFERROR(VLOOKUP(G210, Relic_Price_Config!$A$5:$E$9, 2, FALSE), 1), 0))) * 0.1) / 5, 0) * 5)</f>
        <v>0</v>
      </c>
      <c r="AB210" s="5">
        <f t="shared" si="3"/>
        <v>0</v>
      </c>
    </row>
    <row r="211" spans="1:28" ht="24" customHeight="1">
      <c r="A211" s="2" t="s">
        <v>1093</v>
      </c>
      <c r="B211" s="2" t="s">
        <v>1094</v>
      </c>
      <c r="C211" s="10" t="s">
        <v>1095</v>
      </c>
      <c r="D211" s="2" t="s">
        <v>1045</v>
      </c>
      <c r="E211" s="2" t="s">
        <v>1046</v>
      </c>
      <c r="F211" s="2" t="s">
        <v>51</v>
      </c>
      <c r="G211" s="2" t="s">
        <v>34</v>
      </c>
      <c r="H211" s="2" t="s">
        <v>613</v>
      </c>
      <c r="I211" s="2" t="s">
        <v>504</v>
      </c>
      <c r="J211" s="2">
        <v>0</v>
      </c>
      <c r="K211" s="2">
        <v>0</v>
      </c>
      <c r="L211" s="2">
        <v>0</v>
      </c>
      <c r="M211" s="2" t="s">
        <v>38</v>
      </c>
      <c r="N211" s="2">
        <v>1</v>
      </c>
      <c r="O211" s="2">
        <v>1</v>
      </c>
      <c r="P211" s="2">
        <v>0</v>
      </c>
      <c r="Q211" s="2" t="s">
        <v>71</v>
      </c>
      <c r="R211" s="2">
        <v>2</v>
      </c>
      <c r="S211" s="2">
        <v>1</v>
      </c>
      <c r="T211" s="2">
        <v>0</v>
      </c>
      <c r="U211" s="2"/>
      <c r="V211" s="2"/>
      <c r="W211" s="2"/>
      <c r="X211" s="2"/>
      <c r="Y211" s="3" t="s">
        <v>1096</v>
      </c>
      <c r="Z211" s="3" t="s">
        <v>1097</v>
      </c>
      <c r="AA211" s="2">
        <f>IF(OR(D211="Monster", E211="Basic"), 0, ROUND((MIN(IFERROR(VLOOKUP(G211, Relic_Price_Config!$A$5:$E$9, 4, FALSE), 350), MAX(IFERROR(VLOOKUP(G211, Relic_Price_Config!$A$5:$E$9, 3, FALSE), 210), ROUND((IFERROR(VLOOKUP(H211, Relic_Price_Config!$G$5:$N$100, 4, FALSE), 280) + N(L211) * IF(N(O211)&gt;1, N(O211), 1) * IFERROR(VLOOKUP(H211, Relic_Price_Config!$G$5:$N$100, 5, FALSE), 10) + ABS(N(R211)) * IFERROR(VLOOKUP(H211, Relic_Price_Config!$G$5:$N$100, 6, FALSE), 15) + IF(N(S211)&gt;1, (N(S211)-1)*10, 0)) * IFERROR(VLOOKUP(G211, Relic_Price_Config!$A$5:$E$9, 2, FALSE), 1), 0))) * 0.1) / 5, 0) * 5)</f>
        <v>0</v>
      </c>
      <c r="AB211" s="2">
        <f t="shared" si="3"/>
        <v>0</v>
      </c>
    </row>
    <row r="212" spans="1:28" ht="24" customHeight="1">
      <c r="A212" s="5" t="s">
        <v>1098</v>
      </c>
      <c r="B212" s="5" t="s">
        <v>1099</v>
      </c>
      <c r="C212" s="12" t="s">
        <v>1100</v>
      </c>
      <c r="D212" s="11" t="s">
        <v>1045</v>
      </c>
      <c r="E212" s="11" t="s">
        <v>1046</v>
      </c>
      <c r="F212" s="11" t="s">
        <v>33</v>
      </c>
      <c r="G212" s="11" t="s">
        <v>34</v>
      </c>
      <c r="H212" s="5" t="s">
        <v>652</v>
      </c>
      <c r="I212" s="5" t="s">
        <v>108</v>
      </c>
      <c r="J212" s="5">
        <v>0</v>
      </c>
      <c r="K212" s="5">
        <v>0</v>
      </c>
      <c r="L212" s="5">
        <v>10</v>
      </c>
      <c r="M212" s="5" t="s">
        <v>37</v>
      </c>
      <c r="N212" s="5">
        <v>1</v>
      </c>
      <c r="O212" s="5">
        <v>1</v>
      </c>
      <c r="P212" s="5">
        <v>0</v>
      </c>
      <c r="Q212" s="5" t="s">
        <v>38</v>
      </c>
      <c r="R212" s="5">
        <v>0</v>
      </c>
      <c r="S212" s="5">
        <v>0</v>
      </c>
      <c r="T212" s="5">
        <v>0</v>
      </c>
      <c r="U212" s="5"/>
      <c r="V212" s="5"/>
      <c r="W212" s="5"/>
      <c r="X212" s="5"/>
      <c r="Y212" s="6" t="s">
        <v>1101</v>
      </c>
      <c r="Z212" s="12" t="s">
        <v>1078</v>
      </c>
      <c r="AA212" s="5">
        <f>IF(OR(D212="Monster", E212="Basic"), 0, ROUND((MIN(IFERROR(VLOOKUP(G212, Relic_Price_Config!$A$5:$E$9, 4, FALSE), 350), MAX(IFERROR(VLOOKUP(G212, Relic_Price_Config!$A$5:$E$9, 3, FALSE), 210), ROUND((IFERROR(VLOOKUP(H212, Relic_Price_Config!$G$5:$N$100, 4, FALSE), 280) + N(L212) * IF(N(O212)&gt;1, N(O212), 1) * IFERROR(VLOOKUP(H212, Relic_Price_Config!$G$5:$N$100, 5, FALSE), 10) + ABS(N(R212)) * IFERROR(VLOOKUP(H212, Relic_Price_Config!$G$5:$N$100, 6, FALSE), 15) + IF(N(S212)&gt;1, (N(S212)-1)*10, 0)) * IFERROR(VLOOKUP(G212, Relic_Price_Config!$A$5:$E$9, 2, FALSE), 1), 0))) * 0.1) / 5, 0) * 5)</f>
        <v>0</v>
      </c>
      <c r="AB212" s="5">
        <f t="shared" si="3"/>
        <v>0</v>
      </c>
    </row>
    <row r="213" spans="1:28" ht="24" customHeight="1">
      <c r="A213" s="2" t="s">
        <v>1102</v>
      </c>
      <c r="B213" s="2" t="s">
        <v>1103</v>
      </c>
      <c r="C213" s="10" t="s">
        <v>1104</v>
      </c>
      <c r="D213" s="2" t="s">
        <v>1045</v>
      </c>
      <c r="E213" s="2" t="s">
        <v>1046</v>
      </c>
      <c r="F213" s="2" t="s">
        <v>33</v>
      </c>
      <c r="G213" s="2" t="s">
        <v>34</v>
      </c>
      <c r="H213" s="2" t="s">
        <v>561</v>
      </c>
      <c r="I213" s="2" t="s">
        <v>108</v>
      </c>
      <c r="J213" s="2">
        <v>0</v>
      </c>
      <c r="K213" s="2">
        <v>0</v>
      </c>
      <c r="L213" s="2">
        <v>12</v>
      </c>
      <c r="M213" s="2" t="s">
        <v>37</v>
      </c>
      <c r="N213" s="2">
        <v>1</v>
      </c>
      <c r="O213" s="2">
        <v>1</v>
      </c>
      <c r="P213" s="2">
        <v>0</v>
      </c>
      <c r="Q213" s="2" t="s">
        <v>562</v>
      </c>
      <c r="R213" s="2">
        <v>2</v>
      </c>
      <c r="S213" s="2">
        <v>1</v>
      </c>
      <c r="T213" s="2">
        <v>0</v>
      </c>
      <c r="U213" s="2"/>
      <c r="V213" s="2"/>
      <c r="W213" s="2"/>
      <c r="X213" s="2"/>
      <c r="Y213" s="3" t="s">
        <v>1105</v>
      </c>
      <c r="Z213" s="3" t="s">
        <v>1106</v>
      </c>
      <c r="AA213" s="2">
        <f>IF(OR(D213="Monster", E213="Basic"), 0, ROUND((MIN(IFERROR(VLOOKUP(G213, Relic_Price_Config!$A$5:$E$9, 4, FALSE), 350), MAX(IFERROR(VLOOKUP(G213, Relic_Price_Config!$A$5:$E$9, 3, FALSE), 210), ROUND((IFERROR(VLOOKUP(H213, Relic_Price_Config!$G$5:$N$100, 4, FALSE), 280) + N(L213) * IF(N(O213)&gt;1, N(O213), 1) * IFERROR(VLOOKUP(H213, Relic_Price_Config!$G$5:$N$100, 5, FALSE), 10) + ABS(N(R213)) * IFERROR(VLOOKUP(H213, Relic_Price_Config!$G$5:$N$100, 6, FALSE), 15) + IF(N(S213)&gt;1, (N(S213)-1)*10, 0)) * IFERROR(VLOOKUP(G213, Relic_Price_Config!$A$5:$E$9, 2, FALSE), 1), 0))) * 0.1) / 5, 0) * 5)</f>
        <v>0</v>
      </c>
      <c r="AB213" s="2">
        <f t="shared" si="3"/>
        <v>0</v>
      </c>
    </row>
    <row r="214" spans="1:28">
      <c r="A214" s="5" t="s">
        <v>1107</v>
      </c>
      <c r="B214" s="5" t="s">
        <v>1108</v>
      </c>
      <c r="C214" s="12" t="s">
        <v>1109</v>
      </c>
      <c r="D214" s="11" t="s">
        <v>1045</v>
      </c>
      <c r="E214" s="11" t="s">
        <v>1046</v>
      </c>
      <c r="F214" s="11" t="s">
        <v>43</v>
      </c>
      <c r="G214" s="11" t="s">
        <v>34</v>
      </c>
      <c r="H214" s="5" t="s">
        <v>44</v>
      </c>
      <c r="I214" s="5" t="s">
        <v>45</v>
      </c>
      <c r="J214" s="5">
        <v>0</v>
      </c>
      <c r="K214" s="5">
        <v>0</v>
      </c>
      <c r="L214" s="5">
        <v>13</v>
      </c>
      <c r="M214" s="5" t="s">
        <v>46</v>
      </c>
      <c r="N214" s="5">
        <v>1</v>
      </c>
      <c r="O214" s="5">
        <v>1</v>
      </c>
      <c r="P214" s="5">
        <v>0</v>
      </c>
      <c r="Q214" s="5" t="s">
        <v>38</v>
      </c>
      <c r="R214" s="5">
        <v>0</v>
      </c>
      <c r="S214" s="5">
        <v>0</v>
      </c>
      <c r="T214" s="5">
        <v>0</v>
      </c>
      <c r="U214" s="5"/>
      <c r="V214" s="5"/>
      <c r="W214" s="5"/>
      <c r="X214" s="5"/>
      <c r="Y214" s="6" t="s">
        <v>1110</v>
      </c>
      <c r="Z214" s="12" t="s">
        <v>1111</v>
      </c>
      <c r="AA214" s="5">
        <f>IF(OR(D214="Monster", E214="Basic"), 0, ROUND((MIN(IFERROR(VLOOKUP(G214, Relic_Price_Config!$A$5:$E$9, 4, FALSE), 350), MAX(IFERROR(VLOOKUP(G214, Relic_Price_Config!$A$5:$E$9, 3, FALSE), 210), ROUND((IFERROR(VLOOKUP(H214, Relic_Price_Config!$G$5:$N$100, 4, FALSE), 280) + N(L214) * IF(N(O214)&gt;1, N(O214), 1) * IFERROR(VLOOKUP(H214, Relic_Price_Config!$G$5:$N$100, 5, FALSE), 10) + ABS(N(R214)) * IFERROR(VLOOKUP(H214, Relic_Price_Config!$G$5:$N$100, 6, FALSE), 15) + IF(N(S214)&gt;1, (N(S214)-1)*10, 0)) * IFERROR(VLOOKUP(G214, Relic_Price_Config!$A$5:$E$9, 2, FALSE), 1), 0))) * 0.1) / 5, 0) * 5)</f>
        <v>0</v>
      </c>
      <c r="AB214" s="5">
        <f t="shared" si="3"/>
        <v>0</v>
      </c>
    </row>
    <row r="215" spans="1:28" ht="24" customHeight="1">
      <c r="A215" s="2" t="s">
        <v>1112</v>
      </c>
      <c r="B215" s="2" t="s">
        <v>1113</v>
      </c>
      <c r="C215" s="10" t="s">
        <v>1114</v>
      </c>
      <c r="D215" s="2" t="s">
        <v>1045</v>
      </c>
      <c r="E215" s="2" t="s">
        <v>1046</v>
      </c>
      <c r="F215" s="2" t="s">
        <v>51</v>
      </c>
      <c r="G215" s="2" t="s">
        <v>34</v>
      </c>
      <c r="H215" s="2" t="s">
        <v>593</v>
      </c>
      <c r="I215" s="2" t="s">
        <v>504</v>
      </c>
      <c r="J215" s="2">
        <v>0</v>
      </c>
      <c r="K215" s="2">
        <v>0</v>
      </c>
      <c r="L215" s="2">
        <v>10</v>
      </c>
      <c r="M215" s="2" t="s">
        <v>46</v>
      </c>
      <c r="N215" s="2">
        <v>1</v>
      </c>
      <c r="O215" s="2">
        <v>1</v>
      </c>
      <c r="P215" s="2">
        <v>0</v>
      </c>
      <c r="Q215" s="2" t="s">
        <v>71</v>
      </c>
      <c r="R215" s="2">
        <v>2</v>
      </c>
      <c r="S215" s="2">
        <v>1</v>
      </c>
      <c r="T215" s="2">
        <v>0</v>
      </c>
      <c r="U215" s="2"/>
      <c r="V215" s="2"/>
      <c r="W215" s="2"/>
      <c r="X215" s="2"/>
      <c r="Y215" s="3" t="s">
        <v>1115</v>
      </c>
      <c r="Z215" s="10" t="s">
        <v>1111</v>
      </c>
      <c r="AA215" s="2">
        <f>IF(OR(D215="Monster", E215="Basic"), 0, ROUND((MIN(IFERROR(VLOOKUP(G215, Relic_Price_Config!$A$5:$E$9, 4, FALSE), 350), MAX(IFERROR(VLOOKUP(G215, Relic_Price_Config!$A$5:$E$9, 3, FALSE), 210), ROUND((IFERROR(VLOOKUP(H215, Relic_Price_Config!$G$5:$N$100, 4, FALSE), 280) + N(L215) * IF(N(O215)&gt;1, N(O215), 1) * IFERROR(VLOOKUP(H215, Relic_Price_Config!$G$5:$N$100, 5, FALSE), 10) + ABS(N(R215)) * IFERROR(VLOOKUP(H215, Relic_Price_Config!$G$5:$N$100, 6, FALSE), 15) + IF(N(S215)&gt;1, (N(S215)-1)*10, 0)) * IFERROR(VLOOKUP(G215, Relic_Price_Config!$A$5:$E$9, 2, FALSE), 1), 0))) * 0.1) / 5, 0) * 5)</f>
        <v>0</v>
      </c>
      <c r="AB215" s="2">
        <f t="shared" si="3"/>
        <v>0</v>
      </c>
    </row>
    <row r="216" spans="1:28" ht="24" customHeight="1">
      <c r="A216" s="7" t="s">
        <v>1116</v>
      </c>
      <c r="B216" s="7" t="s">
        <v>1117</v>
      </c>
      <c r="C216" s="6" t="s">
        <v>1118</v>
      </c>
      <c r="D216" s="13" t="s">
        <v>1045</v>
      </c>
      <c r="E216" s="13" t="s">
        <v>1046</v>
      </c>
      <c r="F216" s="13" t="s">
        <v>33</v>
      </c>
      <c r="G216" s="13" t="s">
        <v>34</v>
      </c>
      <c r="H216" s="7" t="s">
        <v>652</v>
      </c>
      <c r="I216" s="7" t="s">
        <v>108</v>
      </c>
      <c r="J216" s="7">
        <v>0</v>
      </c>
      <c r="K216" s="7">
        <v>0</v>
      </c>
      <c r="L216" s="7">
        <v>15</v>
      </c>
      <c r="M216" s="7" t="s">
        <v>37</v>
      </c>
      <c r="N216" s="7">
        <v>1</v>
      </c>
      <c r="O216" s="7">
        <v>1</v>
      </c>
      <c r="P216" s="7">
        <v>0</v>
      </c>
      <c r="Q216" s="7" t="s">
        <v>38</v>
      </c>
      <c r="R216" s="7">
        <v>0</v>
      </c>
      <c r="S216" s="7">
        <v>0</v>
      </c>
      <c r="T216" s="7">
        <v>0</v>
      </c>
      <c r="U216" s="7"/>
      <c r="V216" s="7"/>
      <c r="W216" s="7"/>
      <c r="X216" s="7"/>
      <c r="Y216" s="6" t="s">
        <v>1119</v>
      </c>
      <c r="Z216" s="6" t="s">
        <v>1111</v>
      </c>
      <c r="AA216" s="7">
        <f>IF(OR(D216="Monster", E216="Basic"), 0, ROUND((MIN(IFERROR(VLOOKUP(G216, Relic_Price_Config!$A$5:$E$9, 4, FALSE), 350), MAX(IFERROR(VLOOKUP(G216, Relic_Price_Config!$A$5:$E$9, 3, FALSE), 210), ROUND((IFERROR(VLOOKUP(H216, Relic_Price_Config!$G$5:$N$100, 4, FALSE), 280) + N(L216) * IF(N(O216)&gt;1, N(O216), 1) * IFERROR(VLOOKUP(H216, Relic_Price_Config!$G$5:$N$100, 5, FALSE), 10) + ABS(N(R216)) * IFERROR(VLOOKUP(H216, Relic_Price_Config!$G$5:$N$100, 6, FALSE), 15) + IF(N(S216)&gt;1, (N(S216)-1)*10, 0)) * IFERROR(VLOOKUP(G216, Relic_Price_Config!$A$5:$E$9, 2, FALSE), 1), 0))) * 0.1) / 5, 0) * 5)</f>
        <v>0</v>
      </c>
      <c r="AB216" s="7">
        <f t="shared" si="3"/>
        <v>0</v>
      </c>
    </row>
    <row r="217" spans="1:28">
      <c r="A217" s="14" t="s">
        <v>1120</v>
      </c>
      <c r="B217" s="7" t="s">
        <v>1121</v>
      </c>
      <c r="C217" s="6" t="s">
        <v>1122</v>
      </c>
      <c r="D217" s="13" t="s">
        <v>1045</v>
      </c>
      <c r="E217" s="13" t="s">
        <v>1046</v>
      </c>
      <c r="F217" s="13" t="s">
        <v>33</v>
      </c>
      <c r="G217" s="13" t="s">
        <v>208</v>
      </c>
      <c r="H217" s="7" t="s">
        <v>652</v>
      </c>
      <c r="I217" s="7" t="s">
        <v>108</v>
      </c>
      <c r="J217" s="7">
        <v>0</v>
      </c>
      <c r="K217" s="7">
        <v>0</v>
      </c>
      <c r="L217" s="7">
        <v>9</v>
      </c>
      <c r="M217" s="7" t="s">
        <v>37</v>
      </c>
      <c r="N217" s="7">
        <v>1</v>
      </c>
      <c r="O217" s="7">
        <v>1</v>
      </c>
      <c r="P217" s="7">
        <v>0</v>
      </c>
      <c r="Q217" s="7" t="s">
        <v>38</v>
      </c>
      <c r="R217" s="7">
        <v>0</v>
      </c>
      <c r="S217" s="7">
        <v>0</v>
      </c>
      <c r="T217" s="7">
        <v>0</v>
      </c>
      <c r="U217" s="7"/>
      <c r="V217" s="7"/>
      <c r="W217" s="7"/>
      <c r="X217" s="7"/>
      <c r="Y217" s="6" t="s">
        <v>1123</v>
      </c>
      <c r="Z217" s="6" t="s">
        <v>1124</v>
      </c>
      <c r="AA217" s="7">
        <f>IF(OR(D217="Monster", E217="Basic"), 0, ROUND((MIN(IFERROR(VLOOKUP(G217, Relic_Price_Config!$A$5:$E$9, 4, FALSE), 350), MAX(IFERROR(VLOOKUP(G217, Relic_Price_Config!$A$5:$E$9, 3, FALSE), 210), ROUND((IFERROR(VLOOKUP(H217, Relic_Price_Config!$G$5:$N$100, 4, FALSE), 280) + N(L217) * IF(N(O217)&gt;1, N(O217), 1) * IFERROR(VLOOKUP(H217, Relic_Price_Config!$G$5:$N$100, 5, FALSE), 10) + ABS(N(R217)) * IFERROR(VLOOKUP(H217, Relic_Price_Config!$G$5:$N$100, 6, FALSE), 15) + IF(N(S217)&gt;1, (N(S217)-1)*10, 0)) * IFERROR(VLOOKUP(G217, Relic_Price_Config!$A$5:$E$9, 2, FALSE), 1), 0))) * 0.1) / 5, 0) * 5)</f>
        <v>0</v>
      </c>
      <c r="AB217" s="7">
        <f t="shared" si="3"/>
        <v>0</v>
      </c>
    </row>
    <row r="218" spans="1:28" ht="24" customHeight="1">
      <c r="A218" s="14" t="s">
        <v>1125</v>
      </c>
      <c r="B218" s="7" t="s">
        <v>1126</v>
      </c>
      <c r="C218" s="6" t="s">
        <v>1127</v>
      </c>
      <c r="D218" s="13" t="s">
        <v>1045</v>
      </c>
      <c r="E218" s="13" t="s">
        <v>1046</v>
      </c>
      <c r="F218" s="13" t="s">
        <v>43</v>
      </c>
      <c r="G218" s="13" t="s">
        <v>208</v>
      </c>
      <c r="H218" s="7" t="s">
        <v>44</v>
      </c>
      <c r="I218" s="7" t="s">
        <v>45</v>
      </c>
      <c r="J218" s="7">
        <v>0</v>
      </c>
      <c r="K218" s="7">
        <v>0</v>
      </c>
      <c r="L218" s="7">
        <v>10</v>
      </c>
      <c r="M218" s="7" t="s">
        <v>46</v>
      </c>
      <c r="N218" s="7">
        <v>1</v>
      </c>
      <c r="O218" s="7">
        <v>1</v>
      </c>
      <c r="P218" s="7">
        <v>0</v>
      </c>
      <c r="Q218" s="7" t="s">
        <v>38</v>
      </c>
      <c r="R218" s="7">
        <v>0</v>
      </c>
      <c r="S218" s="7">
        <v>0</v>
      </c>
      <c r="T218" s="7">
        <v>0</v>
      </c>
      <c r="U218" s="7"/>
      <c r="V218" s="7"/>
      <c r="W218" s="7"/>
      <c r="X218" s="7"/>
      <c r="Y218" s="6" t="s">
        <v>1128</v>
      </c>
      <c r="Z218" s="6" t="s">
        <v>1124</v>
      </c>
      <c r="AA218" s="7">
        <f>IF(OR(D218="Monster", E218="Basic"), 0, ROUND((MIN(IFERROR(VLOOKUP(G218, Relic_Price_Config!$A$5:$E$9, 4, FALSE), 350), MAX(IFERROR(VLOOKUP(G218, Relic_Price_Config!$A$5:$E$9, 3, FALSE), 210), ROUND((IFERROR(VLOOKUP(H218, Relic_Price_Config!$G$5:$N$100, 4, FALSE), 280) + N(L218) * IF(N(O218)&gt;1, N(O218), 1) * IFERROR(VLOOKUP(H218, Relic_Price_Config!$G$5:$N$100, 5, FALSE), 10) + ABS(N(R218)) * IFERROR(VLOOKUP(H218, Relic_Price_Config!$G$5:$N$100, 6, FALSE), 15) + IF(N(S218)&gt;1, (N(S218)-1)*10, 0)) * IFERROR(VLOOKUP(G218, Relic_Price_Config!$A$5:$E$9, 2, FALSE), 1), 0))) * 0.1) / 5, 0) * 5)</f>
        <v>0</v>
      </c>
      <c r="AB218" s="7">
        <f t="shared" si="3"/>
        <v>0</v>
      </c>
    </row>
    <row r="219" spans="1:28">
      <c r="A219" s="14" t="s">
        <v>1129</v>
      </c>
      <c r="B219" s="7" t="s">
        <v>1130</v>
      </c>
      <c r="C219" s="6" t="s">
        <v>1131</v>
      </c>
      <c r="D219" s="13" t="s">
        <v>1045</v>
      </c>
      <c r="E219" s="13" t="s">
        <v>1046</v>
      </c>
      <c r="F219" s="13" t="s">
        <v>33</v>
      </c>
      <c r="G219" s="13" t="s">
        <v>208</v>
      </c>
      <c r="H219" s="7" t="s">
        <v>174</v>
      </c>
      <c r="I219" s="7" t="s">
        <v>108</v>
      </c>
      <c r="J219" s="7">
        <v>0</v>
      </c>
      <c r="K219" s="7">
        <v>0</v>
      </c>
      <c r="L219" s="7">
        <v>6</v>
      </c>
      <c r="M219" s="7" t="s">
        <v>37</v>
      </c>
      <c r="N219" s="7">
        <v>1</v>
      </c>
      <c r="O219" s="7">
        <v>2</v>
      </c>
      <c r="P219" s="7">
        <v>0</v>
      </c>
      <c r="Q219" s="7" t="s">
        <v>38</v>
      </c>
      <c r="R219" s="7">
        <v>0</v>
      </c>
      <c r="S219" s="7">
        <v>0</v>
      </c>
      <c r="T219" s="7">
        <v>0</v>
      </c>
      <c r="U219" s="7"/>
      <c r="V219" s="7"/>
      <c r="W219" s="7"/>
      <c r="X219" s="7"/>
      <c r="Y219" s="6" t="s">
        <v>1132</v>
      </c>
      <c r="Z219" s="6" t="s">
        <v>1124</v>
      </c>
      <c r="AA219" s="7">
        <f>IF(OR(D219="Monster", E219="Basic"), 0, ROUND((MIN(IFERROR(VLOOKUP(G219, Relic_Price_Config!$A$5:$E$9, 4, FALSE), 350), MAX(IFERROR(VLOOKUP(G219, Relic_Price_Config!$A$5:$E$9, 3, FALSE), 210), ROUND((IFERROR(VLOOKUP(H219, Relic_Price_Config!$G$5:$N$100, 4, FALSE), 280) + N(L219) * IF(N(O219)&gt;1, N(O219), 1) * IFERROR(VLOOKUP(H219, Relic_Price_Config!$G$5:$N$100, 5, FALSE), 10) + ABS(N(R219)) * IFERROR(VLOOKUP(H219, Relic_Price_Config!$G$5:$N$100, 6, FALSE), 15) + IF(N(S219)&gt;1, (N(S219)-1)*10, 0)) * IFERROR(VLOOKUP(G219, Relic_Price_Config!$A$5:$E$9, 2, FALSE), 1), 0))) * 0.1) / 5, 0) * 5)</f>
        <v>0</v>
      </c>
      <c r="AB219" s="7">
        <f t="shared" si="3"/>
        <v>0</v>
      </c>
    </row>
    <row r="220" spans="1:28">
      <c r="A220" s="14" t="s">
        <v>1133</v>
      </c>
      <c r="B220" s="7" t="s">
        <v>1134</v>
      </c>
      <c r="C220" s="6" t="s">
        <v>1135</v>
      </c>
      <c r="D220" s="13" t="s">
        <v>1045</v>
      </c>
      <c r="E220" s="13" t="s">
        <v>1046</v>
      </c>
      <c r="F220" s="13" t="s">
        <v>33</v>
      </c>
      <c r="G220" s="13" t="s">
        <v>208</v>
      </c>
      <c r="H220" s="7" t="s">
        <v>652</v>
      </c>
      <c r="I220" s="7" t="s">
        <v>108</v>
      </c>
      <c r="J220" s="7">
        <v>0</v>
      </c>
      <c r="K220" s="7">
        <v>0</v>
      </c>
      <c r="L220" s="7">
        <v>11</v>
      </c>
      <c r="M220" s="7" t="s">
        <v>37</v>
      </c>
      <c r="N220" s="7">
        <v>1</v>
      </c>
      <c r="O220" s="7">
        <v>1</v>
      </c>
      <c r="P220" s="7">
        <v>0</v>
      </c>
      <c r="Q220" s="7" t="s">
        <v>38</v>
      </c>
      <c r="R220" s="7">
        <v>0</v>
      </c>
      <c r="S220" s="7">
        <v>0</v>
      </c>
      <c r="T220" s="7">
        <v>0</v>
      </c>
      <c r="U220" s="7"/>
      <c r="V220" s="7"/>
      <c r="W220" s="7"/>
      <c r="X220" s="7"/>
      <c r="Y220" s="6" t="s">
        <v>1136</v>
      </c>
      <c r="Z220" s="6" t="s">
        <v>1124</v>
      </c>
      <c r="AA220" s="7">
        <f>IF(OR(D220="Monster", E220="Basic"), 0, ROUND((MIN(IFERROR(VLOOKUP(G220, Relic_Price_Config!$A$5:$E$9, 4, FALSE), 350), MAX(IFERROR(VLOOKUP(G220, Relic_Price_Config!$A$5:$E$9, 3, FALSE), 210), ROUND((IFERROR(VLOOKUP(H220, Relic_Price_Config!$G$5:$N$100, 4, FALSE), 280) + N(L220) * IF(N(O220)&gt;1, N(O220), 1) * IFERROR(VLOOKUP(H220, Relic_Price_Config!$G$5:$N$100, 5, FALSE), 10) + ABS(N(R220)) * IFERROR(VLOOKUP(H220, Relic_Price_Config!$G$5:$N$100, 6, FALSE), 15) + IF(N(S220)&gt;1, (N(S220)-1)*10, 0)) * IFERROR(VLOOKUP(G220, Relic_Price_Config!$A$5:$E$9, 2, FALSE), 1), 0))) * 0.1) / 5, 0) * 5)</f>
        <v>0</v>
      </c>
      <c r="AB220" s="7">
        <f t="shared" si="3"/>
        <v>0</v>
      </c>
    </row>
    <row r="221" spans="1:28" ht="24" customHeight="1">
      <c r="A221" s="14" t="s">
        <v>1137</v>
      </c>
      <c r="B221" s="7" t="s">
        <v>1138</v>
      </c>
      <c r="C221" s="6" t="s">
        <v>1139</v>
      </c>
      <c r="D221" s="13" t="s">
        <v>1045</v>
      </c>
      <c r="E221" s="13" t="s">
        <v>1046</v>
      </c>
      <c r="F221" s="13" t="s">
        <v>33</v>
      </c>
      <c r="G221" s="13" t="s">
        <v>208</v>
      </c>
      <c r="H221" s="7" t="s">
        <v>652</v>
      </c>
      <c r="I221" s="7" t="s">
        <v>108</v>
      </c>
      <c r="J221" s="7">
        <v>0</v>
      </c>
      <c r="K221" s="7">
        <v>0</v>
      </c>
      <c r="L221" s="7">
        <v>12</v>
      </c>
      <c r="M221" s="7" t="s">
        <v>37</v>
      </c>
      <c r="N221" s="7">
        <v>1</v>
      </c>
      <c r="O221" s="7">
        <v>1</v>
      </c>
      <c r="P221" s="7">
        <v>0</v>
      </c>
      <c r="Q221" s="7" t="s">
        <v>38</v>
      </c>
      <c r="R221" s="7">
        <v>0</v>
      </c>
      <c r="S221" s="7">
        <v>0</v>
      </c>
      <c r="T221" s="7">
        <v>0</v>
      </c>
      <c r="U221" s="7"/>
      <c r="V221" s="7"/>
      <c r="W221" s="7"/>
      <c r="X221" s="7"/>
      <c r="Y221" s="6" t="s">
        <v>1140</v>
      </c>
      <c r="Z221" s="6" t="s">
        <v>1124</v>
      </c>
      <c r="AA221" s="7">
        <f>IF(OR(D221="Monster", E221="Basic"), 0, ROUND((MIN(IFERROR(VLOOKUP(G221, Relic_Price_Config!$A$5:$E$9, 4, FALSE), 350), MAX(IFERROR(VLOOKUP(G221, Relic_Price_Config!$A$5:$E$9, 3, FALSE), 210), ROUND((IFERROR(VLOOKUP(H221, Relic_Price_Config!$G$5:$N$100, 4, FALSE), 280) + N(L221) * IF(N(O221)&gt;1, N(O221), 1) * IFERROR(VLOOKUP(H221, Relic_Price_Config!$G$5:$N$100, 5, FALSE), 10) + ABS(N(R221)) * IFERROR(VLOOKUP(H221, Relic_Price_Config!$G$5:$N$100, 6, FALSE), 15) + IF(N(S221)&gt;1, (N(S221)-1)*10, 0)) * IFERROR(VLOOKUP(G221, Relic_Price_Config!$A$5:$E$9, 2, FALSE), 1), 0))) * 0.1) / 5, 0) * 5)</f>
        <v>0</v>
      </c>
      <c r="AB221" s="7">
        <f t="shared" si="3"/>
        <v>0</v>
      </c>
    </row>
    <row r="222" spans="1:28" ht="24" customHeight="1">
      <c r="A222" s="14" t="s">
        <v>1141</v>
      </c>
      <c r="B222" s="7" t="s">
        <v>1142</v>
      </c>
      <c r="C222" s="6" t="s">
        <v>1143</v>
      </c>
      <c r="D222" s="13" t="s">
        <v>1045</v>
      </c>
      <c r="E222" s="13" t="s">
        <v>1046</v>
      </c>
      <c r="F222" s="13" t="s">
        <v>43</v>
      </c>
      <c r="G222" s="13" t="s">
        <v>208</v>
      </c>
      <c r="H222" s="7" t="s">
        <v>44</v>
      </c>
      <c r="I222" s="7" t="s">
        <v>45</v>
      </c>
      <c r="J222" s="7">
        <v>0</v>
      </c>
      <c r="K222" s="7">
        <v>0</v>
      </c>
      <c r="L222" s="7">
        <v>12</v>
      </c>
      <c r="M222" s="7" t="s">
        <v>46</v>
      </c>
      <c r="N222" s="7">
        <v>1</v>
      </c>
      <c r="O222" s="7">
        <v>1</v>
      </c>
      <c r="P222" s="7">
        <v>0</v>
      </c>
      <c r="Q222" s="7" t="s">
        <v>38</v>
      </c>
      <c r="R222" s="7">
        <v>0</v>
      </c>
      <c r="S222" s="7">
        <v>0</v>
      </c>
      <c r="T222" s="7">
        <v>0</v>
      </c>
      <c r="U222" s="7"/>
      <c r="V222" s="7"/>
      <c r="W222" s="7"/>
      <c r="X222" s="7"/>
      <c r="Y222" s="6" t="s">
        <v>1144</v>
      </c>
      <c r="Z222" s="6" t="s">
        <v>1124</v>
      </c>
      <c r="AA222" s="7">
        <f>IF(OR(D222="Monster", E222="Basic"), 0, ROUND((MIN(IFERROR(VLOOKUP(G222, Relic_Price_Config!$A$5:$E$9, 4, FALSE), 350), MAX(IFERROR(VLOOKUP(G222, Relic_Price_Config!$A$5:$E$9, 3, FALSE), 210), ROUND((IFERROR(VLOOKUP(H222, Relic_Price_Config!$G$5:$N$100, 4, FALSE), 280) + N(L222) * IF(N(O222)&gt;1, N(O222), 1) * IFERROR(VLOOKUP(H222, Relic_Price_Config!$G$5:$N$100, 5, FALSE), 10) + ABS(N(R222)) * IFERROR(VLOOKUP(H222, Relic_Price_Config!$G$5:$N$100, 6, FALSE), 15) + IF(N(S222)&gt;1, (N(S222)-1)*10, 0)) * IFERROR(VLOOKUP(G222, Relic_Price_Config!$A$5:$E$9, 2, FALSE), 1), 0))) * 0.1) / 5, 0) * 5)</f>
        <v>0</v>
      </c>
      <c r="AB222" s="7">
        <f t="shared" si="3"/>
        <v>0</v>
      </c>
    </row>
    <row r="223" spans="1:28">
      <c r="A223" s="14" t="s">
        <v>1145</v>
      </c>
      <c r="B223" s="7" t="s">
        <v>1146</v>
      </c>
      <c r="C223" s="6" t="s">
        <v>1147</v>
      </c>
      <c r="D223" s="13" t="s">
        <v>1045</v>
      </c>
      <c r="E223" s="13" t="s">
        <v>1046</v>
      </c>
      <c r="F223" s="13" t="s">
        <v>51</v>
      </c>
      <c r="G223" s="13" t="s">
        <v>208</v>
      </c>
      <c r="H223" s="7" t="s">
        <v>613</v>
      </c>
      <c r="I223" s="7" t="s">
        <v>504</v>
      </c>
      <c r="J223" s="7">
        <v>0</v>
      </c>
      <c r="K223" s="7">
        <v>0</v>
      </c>
      <c r="L223" s="7">
        <v>0</v>
      </c>
      <c r="M223" s="7" t="s">
        <v>38</v>
      </c>
      <c r="N223" s="7">
        <v>0</v>
      </c>
      <c r="O223" s="7">
        <v>0</v>
      </c>
      <c r="P223" s="7">
        <v>0</v>
      </c>
      <c r="Q223" s="7" t="s">
        <v>71</v>
      </c>
      <c r="R223" s="7">
        <v>1</v>
      </c>
      <c r="S223" s="7">
        <v>-1</v>
      </c>
      <c r="T223" s="7">
        <v>0</v>
      </c>
      <c r="U223" s="7"/>
      <c r="V223" s="7"/>
      <c r="W223" s="7"/>
      <c r="X223" s="7"/>
      <c r="Y223" s="6" t="s">
        <v>1148</v>
      </c>
      <c r="Z223" s="6" t="s">
        <v>1124</v>
      </c>
      <c r="AA223" s="7">
        <f>IF(OR(D223="Monster", E223="Basic"), 0, ROUND((MIN(IFERROR(VLOOKUP(G223, Relic_Price_Config!$A$5:$E$9, 4, FALSE), 350), MAX(IFERROR(VLOOKUP(G223, Relic_Price_Config!$A$5:$E$9, 3, FALSE), 210), ROUND((IFERROR(VLOOKUP(H223, Relic_Price_Config!$G$5:$N$100, 4, FALSE), 280) + N(L223) * IF(N(O223)&gt;1, N(O223), 1) * IFERROR(VLOOKUP(H223, Relic_Price_Config!$G$5:$N$100, 5, FALSE), 10) + ABS(N(R223)) * IFERROR(VLOOKUP(H223, Relic_Price_Config!$G$5:$N$100, 6, FALSE), 15) + IF(N(S223)&gt;1, (N(S223)-1)*10, 0)) * IFERROR(VLOOKUP(G223, Relic_Price_Config!$A$5:$E$9, 2, FALSE), 1), 0))) * 0.1) / 5, 0) * 5)</f>
        <v>0</v>
      </c>
      <c r="AB223" s="7">
        <f t="shared" si="3"/>
        <v>0</v>
      </c>
    </row>
    <row r="224" spans="1:28">
      <c r="A224" s="14" t="s">
        <v>1149</v>
      </c>
      <c r="B224" s="7" t="s">
        <v>1150</v>
      </c>
      <c r="C224" s="6" t="s">
        <v>1151</v>
      </c>
      <c r="D224" s="13" t="s">
        <v>1045</v>
      </c>
      <c r="E224" s="13" t="s">
        <v>1046</v>
      </c>
      <c r="F224" s="13" t="s">
        <v>51</v>
      </c>
      <c r="G224" s="13" t="s">
        <v>208</v>
      </c>
      <c r="H224" s="7" t="s">
        <v>672</v>
      </c>
      <c r="I224" s="7" t="s">
        <v>504</v>
      </c>
      <c r="J224" s="7">
        <v>0</v>
      </c>
      <c r="K224" s="7">
        <v>0</v>
      </c>
      <c r="L224" s="7">
        <v>0</v>
      </c>
      <c r="M224" s="7" t="s">
        <v>38</v>
      </c>
      <c r="N224" s="7">
        <v>0</v>
      </c>
      <c r="O224" s="7">
        <v>0</v>
      </c>
      <c r="P224" s="7">
        <v>0</v>
      </c>
      <c r="Q224" s="7" t="s">
        <v>229</v>
      </c>
      <c r="R224" s="7">
        <v>1</v>
      </c>
      <c r="S224" s="7">
        <v>-1</v>
      </c>
      <c r="T224" s="7">
        <v>0</v>
      </c>
      <c r="U224" s="7"/>
      <c r="V224" s="7"/>
      <c r="W224" s="7"/>
      <c r="X224" s="7"/>
      <c r="Y224" s="6" t="s">
        <v>1152</v>
      </c>
      <c r="Z224" s="6" t="s">
        <v>1124</v>
      </c>
      <c r="AA224" s="7">
        <f>IF(OR(D224="Monster", E224="Basic"), 0, ROUND((MIN(IFERROR(VLOOKUP(G224, Relic_Price_Config!$A$5:$E$9, 4, FALSE), 350), MAX(IFERROR(VLOOKUP(G224, Relic_Price_Config!$A$5:$E$9, 3, FALSE), 210), ROUND((IFERROR(VLOOKUP(H224, Relic_Price_Config!$G$5:$N$100, 4, FALSE), 280) + N(L224) * IF(N(O224)&gt;1, N(O224), 1) * IFERROR(VLOOKUP(H224, Relic_Price_Config!$G$5:$N$100, 5, FALSE), 10) + ABS(N(R224)) * IFERROR(VLOOKUP(H224, Relic_Price_Config!$G$5:$N$100, 6, FALSE), 15) + IF(N(S224)&gt;1, (N(S224)-1)*10, 0)) * IFERROR(VLOOKUP(G224, Relic_Price_Config!$A$5:$E$9, 2, FALSE), 1), 0))) * 0.1) / 5, 0) * 5)</f>
        <v>0</v>
      </c>
      <c r="AB224" s="7">
        <f t="shared" si="3"/>
        <v>0</v>
      </c>
    </row>
    <row r="225" spans="1:28" ht="24" customHeight="1">
      <c r="A225" s="14" t="s">
        <v>1153</v>
      </c>
      <c r="B225" s="7" t="s">
        <v>1154</v>
      </c>
      <c r="C225" s="6" t="s">
        <v>1155</v>
      </c>
      <c r="D225" s="13" t="s">
        <v>1045</v>
      </c>
      <c r="E225" s="13" t="s">
        <v>1046</v>
      </c>
      <c r="F225" s="13" t="s">
        <v>33</v>
      </c>
      <c r="G225" s="13" t="s">
        <v>208</v>
      </c>
      <c r="H225" s="7" t="s">
        <v>474</v>
      </c>
      <c r="I225" s="7" t="s">
        <v>108</v>
      </c>
      <c r="J225" s="7">
        <v>0</v>
      </c>
      <c r="K225" s="7">
        <v>0</v>
      </c>
      <c r="L225" s="7">
        <v>7</v>
      </c>
      <c r="M225" s="7" t="s">
        <v>37</v>
      </c>
      <c r="N225" s="7">
        <v>1</v>
      </c>
      <c r="O225" s="7">
        <v>1</v>
      </c>
      <c r="P225" s="7">
        <v>8</v>
      </c>
      <c r="Q225" s="7" t="s">
        <v>38</v>
      </c>
      <c r="R225" s="7">
        <v>0</v>
      </c>
      <c r="S225" s="7">
        <v>0</v>
      </c>
      <c r="T225" s="7">
        <v>0</v>
      </c>
      <c r="U225" s="7"/>
      <c r="V225" s="7"/>
      <c r="W225" s="7"/>
      <c r="X225" s="7"/>
      <c r="Y225" s="6" t="s">
        <v>1156</v>
      </c>
      <c r="Z225" s="6" t="s">
        <v>1124</v>
      </c>
      <c r="AA225" s="7">
        <f>IF(OR(D225="Monster", E225="Basic"), 0, ROUND((MIN(IFERROR(VLOOKUP(G225, Relic_Price_Config!$A$5:$E$9, 4, FALSE), 350), MAX(IFERROR(VLOOKUP(G225, Relic_Price_Config!$A$5:$E$9, 3, FALSE), 210), ROUND((IFERROR(VLOOKUP(H225, Relic_Price_Config!$G$5:$N$100, 4, FALSE), 280) + N(L225) * IF(N(O225)&gt;1, N(O225), 1) * IFERROR(VLOOKUP(H225, Relic_Price_Config!$G$5:$N$100, 5, FALSE), 10) + ABS(N(R225)) * IFERROR(VLOOKUP(H225, Relic_Price_Config!$G$5:$N$100, 6, FALSE), 15) + IF(N(S225)&gt;1, (N(S225)-1)*10, 0)) * IFERROR(VLOOKUP(G225, Relic_Price_Config!$A$5:$E$9, 2, FALSE), 1), 0))) * 0.1) / 5, 0) * 5)</f>
        <v>0</v>
      </c>
      <c r="AB225" s="7">
        <f t="shared" si="3"/>
        <v>0</v>
      </c>
    </row>
    <row r="226" spans="1:28">
      <c r="A226" s="14" t="s">
        <v>1157</v>
      </c>
      <c r="B226" s="7" t="s">
        <v>1158</v>
      </c>
      <c r="C226" s="6" t="s">
        <v>1159</v>
      </c>
      <c r="D226" s="13" t="s">
        <v>1045</v>
      </c>
      <c r="E226" s="13" t="s">
        <v>1046</v>
      </c>
      <c r="F226" s="13" t="s">
        <v>33</v>
      </c>
      <c r="G226" s="13" t="s">
        <v>208</v>
      </c>
      <c r="H226" s="7" t="s">
        <v>652</v>
      </c>
      <c r="I226" s="7" t="s">
        <v>108</v>
      </c>
      <c r="J226" s="7">
        <v>0</v>
      </c>
      <c r="K226" s="7">
        <v>0</v>
      </c>
      <c r="L226" s="7">
        <v>10</v>
      </c>
      <c r="M226" s="7" t="s">
        <v>37</v>
      </c>
      <c r="N226" s="7">
        <v>1</v>
      </c>
      <c r="O226" s="7">
        <v>1</v>
      </c>
      <c r="P226" s="7">
        <v>0</v>
      </c>
      <c r="Q226" s="7" t="s">
        <v>38</v>
      </c>
      <c r="R226" s="7">
        <v>0</v>
      </c>
      <c r="S226" s="7">
        <v>0</v>
      </c>
      <c r="T226" s="7">
        <v>0</v>
      </c>
      <c r="U226" s="7"/>
      <c r="V226" s="7"/>
      <c r="W226" s="7"/>
      <c r="X226" s="7"/>
      <c r="Y226" s="6" t="s">
        <v>1160</v>
      </c>
      <c r="Z226" s="6" t="s">
        <v>1124</v>
      </c>
      <c r="AA226" s="7">
        <f>IF(OR(D226="Monster", E226="Basic"), 0, ROUND((MIN(IFERROR(VLOOKUP(G226, Relic_Price_Config!$A$5:$E$9, 4, FALSE), 350), MAX(IFERROR(VLOOKUP(G226, Relic_Price_Config!$A$5:$E$9, 3, FALSE), 210), ROUND((IFERROR(VLOOKUP(H226, Relic_Price_Config!$G$5:$N$100, 4, FALSE), 280) + N(L226) * IF(N(O226)&gt;1, N(O226), 1) * IFERROR(VLOOKUP(H226, Relic_Price_Config!$G$5:$N$100, 5, FALSE), 10) + ABS(N(R226)) * IFERROR(VLOOKUP(H226, Relic_Price_Config!$G$5:$N$100, 6, FALSE), 15) + IF(N(S226)&gt;1, (N(S226)-1)*10, 0)) * IFERROR(VLOOKUP(G226, Relic_Price_Config!$A$5:$E$9, 2, FALSE), 1), 0))) * 0.1) / 5, 0) * 5)</f>
        <v>0</v>
      </c>
      <c r="AB226" s="7">
        <f t="shared" si="3"/>
        <v>0</v>
      </c>
    </row>
    <row r="227" spans="1:28">
      <c r="A227" s="14" t="s">
        <v>1161</v>
      </c>
      <c r="B227" s="7" t="s">
        <v>1162</v>
      </c>
      <c r="C227" s="6" t="s">
        <v>1163</v>
      </c>
      <c r="D227" s="13" t="s">
        <v>1045</v>
      </c>
      <c r="E227" s="13" t="s">
        <v>1046</v>
      </c>
      <c r="F227" s="13" t="s">
        <v>51</v>
      </c>
      <c r="G227" s="13" t="s">
        <v>208</v>
      </c>
      <c r="H227" s="7" t="s">
        <v>100</v>
      </c>
      <c r="I227" s="7" t="s">
        <v>45</v>
      </c>
      <c r="J227" s="7">
        <v>0</v>
      </c>
      <c r="K227" s="7">
        <v>0</v>
      </c>
      <c r="L227" s="7">
        <v>0</v>
      </c>
      <c r="M227" s="7" t="s">
        <v>38</v>
      </c>
      <c r="N227" s="7">
        <v>0</v>
      </c>
      <c r="O227" s="7">
        <v>0</v>
      </c>
      <c r="P227" s="7">
        <v>0</v>
      </c>
      <c r="Q227" s="7" t="s">
        <v>101</v>
      </c>
      <c r="R227" s="7">
        <v>2</v>
      </c>
      <c r="S227" s="7">
        <v>-1</v>
      </c>
      <c r="T227" s="7">
        <v>0</v>
      </c>
      <c r="U227" s="7"/>
      <c r="V227" s="7"/>
      <c r="W227" s="7"/>
      <c r="X227" s="7"/>
      <c r="Y227" s="6" t="s">
        <v>1164</v>
      </c>
      <c r="Z227" s="6" t="s">
        <v>1124</v>
      </c>
      <c r="AA227" s="7">
        <f>IF(OR(D227="Monster", E227="Basic"), 0, ROUND((MIN(IFERROR(VLOOKUP(G227, Relic_Price_Config!$A$5:$E$9, 4, FALSE), 350), MAX(IFERROR(VLOOKUP(G227, Relic_Price_Config!$A$5:$E$9, 3, FALSE), 210), ROUND((IFERROR(VLOOKUP(H227, Relic_Price_Config!$G$5:$N$100, 4, FALSE), 280) + N(L227) * IF(N(O227)&gt;1, N(O227), 1) * IFERROR(VLOOKUP(H227, Relic_Price_Config!$G$5:$N$100, 5, FALSE), 10) + ABS(N(R227)) * IFERROR(VLOOKUP(H227, Relic_Price_Config!$G$5:$N$100, 6, FALSE), 15) + IF(N(S227)&gt;1, (N(S227)-1)*10, 0)) * IFERROR(VLOOKUP(G227, Relic_Price_Config!$A$5:$E$9, 2, FALSE), 1), 0))) * 0.1) / 5, 0) * 5)</f>
        <v>0</v>
      </c>
      <c r="AB227" s="7">
        <f t="shared" si="3"/>
        <v>0</v>
      </c>
    </row>
    <row r="228" spans="1:28" ht="24" customHeight="1">
      <c r="A228" s="15" t="s">
        <v>1165</v>
      </c>
      <c r="B228" s="7" t="s">
        <v>1166</v>
      </c>
      <c r="C228" s="6" t="s">
        <v>1167</v>
      </c>
      <c r="D228" s="13" t="s">
        <v>1045</v>
      </c>
      <c r="E228" s="13" t="s">
        <v>1046</v>
      </c>
      <c r="F228" s="13" t="s">
        <v>33</v>
      </c>
      <c r="G228" s="13" t="s">
        <v>208</v>
      </c>
      <c r="H228" s="7" t="s">
        <v>474</v>
      </c>
      <c r="I228" s="7" t="s">
        <v>108</v>
      </c>
      <c r="J228" s="7">
        <v>0</v>
      </c>
      <c r="K228" s="7">
        <v>0</v>
      </c>
      <c r="L228" s="7">
        <v>7</v>
      </c>
      <c r="M228" s="7" t="s">
        <v>37</v>
      </c>
      <c r="N228" s="7">
        <v>1</v>
      </c>
      <c r="O228" s="7">
        <v>1</v>
      </c>
      <c r="P228" s="7">
        <v>10</v>
      </c>
      <c r="Q228" s="7" t="s">
        <v>38</v>
      </c>
      <c r="R228" s="7">
        <v>0</v>
      </c>
      <c r="S228" s="7">
        <v>0</v>
      </c>
      <c r="T228" s="7">
        <v>0</v>
      </c>
      <c r="U228" s="7"/>
      <c r="V228" s="7"/>
      <c r="W228" s="7"/>
      <c r="X228" s="7"/>
      <c r="Y228" s="6" t="s">
        <v>1168</v>
      </c>
      <c r="Z228" s="6" t="s">
        <v>1124</v>
      </c>
      <c r="AA228" s="7">
        <f>IF(OR(D228="Monster", E228="Basic"), 0, ROUND((MIN(IFERROR(VLOOKUP(G228, Relic_Price_Config!$A$5:$E$9, 4, FALSE), 350), MAX(IFERROR(VLOOKUP(G228, Relic_Price_Config!$A$5:$E$9, 3, FALSE), 210), ROUND((IFERROR(VLOOKUP(H228, Relic_Price_Config!$G$5:$N$100, 4, FALSE), 280) + N(L228) * IF(N(O228)&gt;1, N(O228), 1) * IFERROR(VLOOKUP(H228, Relic_Price_Config!$G$5:$N$100, 5, FALSE), 10) + ABS(N(R228)) * IFERROR(VLOOKUP(H228, Relic_Price_Config!$G$5:$N$100, 6, FALSE), 15) + IF(N(S228)&gt;1, (N(S228)-1)*10, 0)) * IFERROR(VLOOKUP(G228, Relic_Price_Config!$A$5:$E$9, 2, FALSE), 1), 0))) * 0.1) / 5, 0) * 5)</f>
        <v>0</v>
      </c>
      <c r="AB228" s="7">
        <f t="shared" si="3"/>
        <v>0</v>
      </c>
    </row>
    <row r="229" spans="1:28" ht="24" customHeight="1">
      <c r="A229" s="14" t="s">
        <v>1169</v>
      </c>
      <c r="B229" s="7" t="s">
        <v>1170</v>
      </c>
      <c r="C229" s="6" t="s">
        <v>1171</v>
      </c>
      <c r="D229" s="13" t="s">
        <v>1045</v>
      </c>
      <c r="E229" s="13" t="s">
        <v>1046</v>
      </c>
      <c r="F229" s="13" t="s">
        <v>43</v>
      </c>
      <c r="G229" s="13" t="s">
        <v>208</v>
      </c>
      <c r="H229" s="7" t="s">
        <v>44</v>
      </c>
      <c r="I229" s="7" t="s">
        <v>45</v>
      </c>
      <c r="J229" s="7">
        <v>0</v>
      </c>
      <c r="K229" s="7">
        <v>0</v>
      </c>
      <c r="L229" s="7">
        <v>18</v>
      </c>
      <c r="M229" s="7" t="s">
        <v>46</v>
      </c>
      <c r="N229" s="7">
        <v>1</v>
      </c>
      <c r="O229" s="7">
        <v>1</v>
      </c>
      <c r="P229" s="7">
        <v>0</v>
      </c>
      <c r="Q229" s="7" t="s">
        <v>38</v>
      </c>
      <c r="R229" s="7">
        <v>0</v>
      </c>
      <c r="S229" s="7">
        <v>0</v>
      </c>
      <c r="T229" s="7">
        <v>0</v>
      </c>
      <c r="U229" s="7"/>
      <c r="V229" s="7"/>
      <c r="W229" s="7"/>
      <c r="X229" s="7"/>
      <c r="Y229" s="6" t="s">
        <v>1172</v>
      </c>
      <c r="Z229" s="6" t="s">
        <v>1124</v>
      </c>
      <c r="AA229" s="7">
        <f>IF(OR(D229="Monster", E229="Basic"), 0, ROUND((MIN(IFERROR(VLOOKUP(G229, Relic_Price_Config!$A$5:$E$9, 4, FALSE), 350), MAX(IFERROR(VLOOKUP(G229, Relic_Price_Config!$A$5:$E$9, 3, FALSE), 210), ROUND((IFERROR(VLOOKUP(H229, Relic_Price_Config!$G$5:$N$100, 4, FALSE), 280) + N(L229) * IF(N(O229)&gt;1, N(O229), 1) * IFERROR(VLOOKUP(H229, Relic_Price_Config!$G$5:$N$100, 5, FALSE), 10) + ABS(N(R229)) * IFERROR(VLOOKUP(H229, Relic_Price_Config!$G$5:$N$100, 6, FALSE), 15) + IF(N(S229)&gt;1, (N(S229)-1)*10, 0)) * IFERROR(VLOOKUP(G229, Relic_Price_Config!$A$5:$E$9, 2, FALSE), 1), 0))) * 0.1) / 5, 0) * 5)</f>
        <v>0</v>
      </c>
      <c r="AB229" s="7">
        <f t="shared" si="3"/>
        <v>0</v>
      </c>
    </row>
    <row r="230" spans="1:28" ht="24" customHeight="1">
      <c r="A230" s="15" t="s">
        <v>1173</v>
      </c>
      <c r="B230" s="7" t="s">
        <v>1174</v>
      </c>
      <c r="C230" s="6" t="s">
        <v>1175</v>
      </c>
      <c r="D230" s="13" t="s">
        <v>1045</v>
      </c>
      <c r="E230" s="13" t="s">
        <v>1046</v>
      </c>
      <c r="F230" s="13" t="s">
        <v>33</v>
      </c>
      <c r="G230" s="13" t="s">
        <v>208</v>
      </c>
      <c r="H230" s="7" t="s">
        <v>350</v>
      </c>
      <c r="I230" s="7" t="s">
        <v>108</v>
      </c>
      <c r="J230" s="7">
        <v>0</v>
      </c>
      <c r="K230" s="7">
        <v>0</v>
      </c>
      <c r="L230" s="7">
        <v>12</v>
      </c>
      <c r="M230" s="7" t="s">
        <v>37</v>
      </c>
      <c r="N230" s="7">
        <v>1</v>
      </c>
      <c r="O230" s="7">
        <v>1</v>
      </c>
      <c r="P230" s="7">
        <v>0</v>
      </c>
      <c r="Q230" s="7" t="s">
        <v>94</v>
      </c>
      <c r="R230" s="7">
        <v>1</v>
      </c>
      <c r="S230" s="7">
        <v>1</v>
      </c>
      <c r="T230" s="7">
        <v>0</v>
      </c>
      <c r="U230" s="7"/>
      <c r="V230" s="7"/>
      <c r="W230" s="7"/>
      <c r="X230" s="7"/>
      <c r="Y230" s="6" t="s">
        <v>1176</v>
      </c>
      <c r="Z230" s="6" t="s">
        <v>1177</v>
      </c>
      <c r="AA230" s="7">
        <f>IF(OR(D230="Monster", E230="Basic"), 0, ROUND((MIN(IFERROR(VLOOKUP(G230, Relic_Price_Config!$A$5:$E$9, 4, FALSE), 350), MAX(IFERROR(VLOOKUP(G230, Relic_Price_Config!$A$5:$E$9, 3, FALSE), 210), ROUND((IFERROR(VLOOKUP(H230, Relic_Price_Config!$G$5:$N$100, 4, FALSE), 280) + N(L230) * IF(N(O230)&gt;1, N(O230), 1) * IFERROR(VLOOKUP(H230, Relic_Price_Config!$G$5:$N$100, 5, FALSE), 10) + ABS(N(R230)) * IFERROR(VLOOKUP(H230, Relic_Price_Config!$G$5:$N$100, 6, FALSE), 15) + IF(N(S230)&gt;1, (N(S230)-1)*10, 0)) * IFERROR(VLOOKUP(G230, Relic_Price_Config!$A$5:$E$9, 2, FALSE), 1), 0))) * 0.1) / 5, 0) * 5)</f>
        <v>0</v>
      </c>
      <c r="AB230" s="7">
        <f t="shared" si="3"/>
        <v>0</v>
      </c>
    </row>
    <row r="231" spans="1:28" ht="24">
      <c r="A231" s="15" t="s">
        <v>1178</v>
      </c>
      <c r="B231" s="7" t="s">
        <v>1179</v>
      </c>
      <c r="C231" s="6" t="s">
        <v>1180</v>
      </c>
      <c r="D231" s="13" t="s">
        <v>1045</v>
      </c>
      <c r="E231" s="13" t="s">
        <v>1046</v>
      </c>
      <c r="F231" s="13" t="s">
        <v>33</v>
      </c>
      <c r="G231" s="13" t="s">
        <v>208</v>
      </c>
      <c r="H231" s="7" t="s">
        <v>174</v>
      </c>
      <c r="I231" s="7" t="s">
        <v>108</v>
      </c>
      <c r="J231" s="7">
        <v>0</v>
      </c>
      <c r="K231" s="7">
        <v>0</v>
      </c>
      <c r="L231" s="7">
        <v>7</v>
      </c>
      <c r="M231" s="7" t="s">
        <v>37</v>
      </c>
      <c r="N231" s="7">
        <v>1</v>
      </c>
      <c r="O231" s="7">
        <v>3</v>
      </c>
      <c r="P231" s="7">
        <v>0</v>
      </c>
      <c r="Q231" s="7" t="s">
        <v>38</v>
      </c>
      <c r="R231" s="7">
        <v>0</v>
      </c>
      <c r="S231" s="7">
        <v>0</v>
      </c>
      <c r="T231" s="7">
        <v>0</v>
      </c>
      <c r="U231" s="7"/>
      <c r="V231" s="7"/>
      <c r="W231" s="7"/>
      <c r="X231" s="7"/>
      <c r="Y231" s="6" t="s">
        <v>1181</v>
      </c>
      <c r="Z231" s="6" t="s">
        <v>1177</v>
      </c>
      <c r="AA231" s="7">
        <f>IF(OR(D231="Monster", E231="Basic"), 0, ROUND((MIN(IFERROR(VLOOKUP(G231, Relic_Price_Config!$A$5:$E$9, 4, FALSE), 350), MAX(IFERROR(VLOOKUP(G231, Relic_Price_Config!$A$5:$E$9, 3, FALSE), 210), ROUND((IFERROR(VLOOKUP(H231, Relic_Price_Config!$G$5:$N$100, 4, FALSE), 280) + N(L231) * IF(N(O231)&gt;1, N(O231), 1) * IFERROR(VLOOKUP(H231, Relic_Price_Config!$G$5:$N$100, 5, FALSE), 10) + ABS(N(R231)) * IFERROR(VLOOKUP(H231, Relic_Price_Config!$G$5:$N$100, 6, FALSE), 15) + IF(N(S231)&gt;1, (N(S231)-1)*10, 0)) * IFERROR(VLOOKUP(G231, Relic_Price_Config!$A$5:$E$9, 2, FALSE), 1), 0))) * 0.1) / 5, 0) * 5)</f>
        <v>0</v>
      </c>
      <c r="AB231" s="7">
        <f t="shared" si="3"/>
        <v>0</v>
      </c>
    </row>
    <row r="232" spans="1:28" ht="24" customHeight="1">
      <c r="A232" s="14" t="s">
        <v>1182</v>
      </c>
      <c r="B232" s="7" t="s">
        <v>1183</v>
      </c>
      <c r="C232" s="6" t="s">
        <v>1184</v>
      </c>
      <c r="D232" s="13" t="s">
        <v>1045</v>
      </c>
      <c r="E232" s="13" t="s">
        <v>1046</v>
      </c>
      <c r="F232" s="13" t="s">
        <v>43</v>
      </c>
      <c r="G232" s="13" t="s">
        <v>208</v>
      </c>
      <c r="H232" s="7" t="s">
        <v>44</v>
      </c>
      <c r="I232" s="7" t="s">
        <v>45</v>
      </c>
      <c r="J232" s="7">
        <v>0</v>
      </c>
      <c r="K232" s="7">
        <v>0</v>
      </c>
      <c r="L232" s="7">
        <v>17</v>
      </c>
      <c r="M232" s="7" t="s">
        <v>46</v>
      </c>
      <c r="N232" s="7">
        <v>1</v>
      </c>
      <c r="O232" s="7">
        <v>1</v>
      </c>
      <c r="P232" s="7">
        <v>0</v>
      </c>
      <c r="Q232" s="7" t="s">
        <v>38</v>
      </c>
      <c r="R232" s="7">
        <v>0</v>
      </c>
      <c r="S232" s="7">
        <v>0</v>
      </c>
      <c r="T232" s="7">
        <v>0</v>
      </c>
      <c r="U232" s="7"/>
      <c r="V232" s="7"/>
      <c r="W232" s="7"/>
      <c r="X232" s="7"/>
      <c r="Y232" s="6" t="s">
        <v>1185</v>
      </c>
      <c r="Z232" s="6" t="s">
        <v>1177</v>
      </c>
      <c r="AA232" s="7">
        <f>IF(OR(D232="Monster", E232="Basic"), 0, ROUND((MIN(IFERROR(VLOOKUP(G232, Relic_Price_Config!$A$5:$E$9, 4, FALSE), 350), MAX(IFERROR(VLOOKUP(G232, Relic_Price_Config!$A$5:$E$9, 3, FALSE), 210), ROUND((IFERROR(VLOOKUP(H232, Relic_Price_Config!$G$5:$N$100, 4, FALSE), 280) + N(L232) * IF(N(O232)&gt;1, N(O232), 1) * IFERROR(VLOOKUP(H232, Relic_Price_Config!$G$5:$N$100, 5, FALSE), 10) + ABS(N(R232)) * IFERROR(VLOOKUP(H232, Relic_Price_Config!$G$5:$N$100, 6, FALSE), 15) + IF(N(S232)&gt;1, (N(S232)-1)*10, 0)) * IFERROR(VLOOKUP(G232, Relic_Price_Config!$A$5:$E$9, 2, FALSE), 1), 0))) * 0.1) / 5, 0) * 5)</f>
        <v>0</v>
      </c>
      <c r="AB232" s="7">
        <f t="shared" si="3"/>
        <v>0</v>
      </c>
    </row>
    <row r="233" spans="1:28" ht="24" customHeight="1">
      <c r="A233" s="14" t="s">
        <v>1186</v>
      </c>
      <c r="B233" s="7" t="s">
        <v>1187</v>
      </c>
      <c r="C233" s="6" t="s">
        <v>1188</v>
      </c>
      <c r="D233" s="13" t="s">
        <v>1045</v>
      </c>
      <c r="E233" s="13" t="s">
        <v>1046</v>
      </c>
      <c r="F233" s="13" t="s">
        <v>33</v>
      </c>
      <c r="G233" s="13" t="s">
        <v>208</v>
      </c>
      <c r="H233" s="7" t="s">
        <v>350</v>
      </c>
      <c r="I233" s="7" t="s">
        <v>108</v>
      </c>
      <c r="J233" s="7">
        <v>0</v>
      </c>
      <c r="K233" s="7">
        <v>0</v>
      </c>
      <c r="L233" s="7">
        <v>13</v>
      </c>
      <c r="M233" s="7" t="s">
        <v>37</v>
      </c>
      <c r="N233" s="7">
        <v>1</v>
      </c>
      <c r="O233" s="7">
        <v>1</v>
      </c>
      <c r="P233" s="7">
        <v>0</v>
      </c>
      <c r="Q233" s="7" t="s">
        <v>94</v>
      </c>
      <c r="R233" s="7">
        <v>1</v>
      </c>
      <c r="S233" s="7">
        <v>2</v>
      </c>
      <c r="T233" s="7">
        <v>0</v>
      </c>
      <c r="U233" s="7"/>
      <c r="V233" s="7"/>
      <c r="W233" s="7"/>
      <c r="X233" s="7"/>
      <c r="Y233" s="6" t="s">
        <v>1189</v>
      </c>
      <c r="Z233" s="6" t="s">
        <v>1177</v>
      </c>
      <c r="AA233" s="7">
        <f>IF(OR(D233="Monster", E233="Basic"), 0, ROUND((MIN(IFERROR(VLOOKUP(G233, Relic_Price_Config!$A$5:$E$9, 4, FALSE), 350), MAX(IFERROR(VLOOKUP(G233, Relic_Price_Config!$A$5:$E$9, 3, FALSE), 210), ROUND((IFERROR(VLOOKUP(H233, Relic_Price_Config!$G$5:$N$100, 4, FALSE), 280) + N(L233) * IF(N(O233)&gt;1, N(O233), 1) * IFERROR(VLOOKUP(H233, Relic_Price_Config!$G$5:$N$100, 5, FALSE), 10) + ABS(N(R233)) * IFERROR(VLOOKUP(H233, Relic_Price_Config!$G$5:$N$100, 6, FALSE), 15) + IF(N(S233)&gt;1, (N(S233)-1)*10, 0)) * IFERROR(VLOOKUP(G233, Relic_Price_Config!$A$5:$E$9, 2, FALSE), 1), 0))) * 0.1) / 5, 0) * 5)</f>
        <v>0</v>
      </c>
      <c r="AB233" s="7">
        <f t="shared" si="3"/>
        <v>0</v>
      </c>
    </row>
    <row r="234" spans="1:28" ht="24" customHeight="1">
      <c r="A234" s="14" t="s">
        <v>1190</v>
      </c>
      <c r="B234" s="7" t="s">
        <v>1191</v>
      </c>
      <c r="C234" s="6" t="s">
        <v>1192</v>
      </c>
      <c r="D234" s="13" t="s">
        <v>1045</v>
      </c>
      <c r="E234" s="13" t="s">
        <v>1046</v>
      </c>
      <c r="F234" s="13" t="s">
        <v>33</v>
      </c>
      <c r="G234" s="13" t="s">
        <v>208</v>
      </c>
      <c r="H234" s="7" t="s">
        <v>489</v>
      </c>
      <c r="I234" s="7" t="s">
        <v>108</v>
      </c>
      <c r="J234" s="7">
        <v>0</v>
      </c>
      <c r="K234" s="7">
        <v>0</v>
      </c>
      <c r="L234" s="7">
        <v>8</v>
      </c>
      <c r="M234" s="7" t="s">
        <v>37</v>
      </c>
      <c r="N234" s="7">
        <v>1</v>
      </c>
      <c r="O234" s="7">
        <v>1</v>
      </c>
      <c r="P234" s="7">
        <v>0</v>
      </c>
      <c r="Q234" s="7" t="s">
        <v>109</v>
      </c>
      <c r="R234" s="7">
        <v>4</v>
      </c>
      <c r="S234" s="7">
        <v>3</v>
      </c>
      <c r="T234" s="7">
        <v>0</v>
      </c>
      <c r="U234" s="7"/>
      <c r="V234" s="7"/>
      <c r="W234" s="7"/>
      <c r="X234" s="7"/>
      <c r="Y234" s="6" t="s">
        <v>1193</v>
      </c>
      <c r="Z234" s="6" t="s">
        <v>1177</v>
      </c>
      <c r="AA234" s="7">
        <f>IF(OR(D234="Monster", E234="Basic"), 0, ROUND((MIN(IFERROR(VLOOKUP(G234, Relic_Price_Config!$A$5:$E$9, 4, FALSE), 350), MAX(IFERROR(VLOOKUP(G234, Relic_Price_Config!$A$5:$E$9, 3, FALSE), 210), ROUND((IFERROR(VLOOKUP(H234, Relic_Price_Config!$G$5:$N$100, 4, FALSE), 280) + N(L234) * IF(N(O234)&gt;1, N(O234), 1) * IFERROR(VLOOKUP(H234, Relic_Price_Config!$G$5:$N$100, 5, FALSE), 10) + ABS(N(R234)) * IFERROR(VLOOKUP(H234, Relic_Price_Config!$G$5:$N$100, 6, FALSE), 15) + IF(N(S234)&gt;1, (N(S234)-1)*10, 0)) * IFERROR(VLOOKUP(G234, Relic_Price_Config!$A$5:$E$9, 2, FALSE), 1), 0))) * 0.1) / 5, 0) * 5)</f>
        <v>0</v>
      </c>
      <c r="AB234" s="7">
        <f t="shared" si="3"/>
        <v>0</v>
      </c>
    </row>
    <row r="235" spans="1:28" ht="24" customHeight="1">
      <c r="A235" s="14" t="s">
        <v>1194</v>
      </c>
      <c r="B235" s="7" t="s">
        <v>1195</v>
      </c>
      <c r="C235" s="6" t="s">
        <v>1196</v>
      </c>
      <c r="D235" s="13" t="s">
        <v>1045</v>
      </c>
      <c r="E235" s="13" t="s">
        <v>1046</v>
      </c>
      <c r="F235" s="13" t="s">
        <v>51</v>
      </c>
      <c r="G235" s="13" t="s">
        <v>208</v>
      </c>
      <c r="H235" s="7" t="s">
        <v>228</v>
      </c>
      <c r="I235" s="7" t="s">
        <v>45</v>
      </c>
      <c r="J235" s="7">
        <v>0</v>
      </c>
      <c r="K235" s="7">
        <v>0</v>
      </c>
      <c r="L235" s="7">
        <v>13</v>
      </c>
      <c r="M235" s="7" t="s">
        <v>46</v>
      </c>
      <c r="N235" s="7">
        <v>1</v>
      </c>
      <c r="O235" s="7">
        <v>1</v>
      </c>
      <c r="P235" s="7">
        <v>0</v>
      </c>
      <c r="Q235" s="7" t="s">
        <v>229</v>
      </c>
      <c r="R235" s="7">
        <v>2</v>
      </c>
      <c r="S235" s="7">
        <v>-1</v>
      </c>
      <c r="T235" s="7">
        <v>0</v>
      </c>
      <c r="U235" s="7"/>
      <c r="V235" s="7"/>
      <c r="W235" s="7"/>
      <c r="X235" s="7"/>
      <c r="Y235" s="6" t="s">
        <v>1197</v>
      </c>
      <c r="Z235" s="6" t="s">
        <v>1177</v>
      </c>
      <c r="AA235" s="7">
        <f>IF(OR(D235="Monster", E235="Basic"), 0, ROUND((MIN(IFERROR(VLOOKUP(G235, Relic_Price_Config!$A$5:$E$9, 4, FALSE), 350), MAX(IFERROR(VLOOKUP(G235, Relic_Price_Config!$A$5:$E$9, 3, FALSE), 210), ROUND((IFERROR(VLOOKUP(H235, Relic_Price_Config!$G$5:$N$100, 4, FALSE), 280) + N(L235) * IF(N(O235)&gt;1, N(O235), 1) * IFERROR(VLOOKUP(H235, Relic_Price_Config!$G$5:$N$100, 5, FALSE), 10) + ABS(N(R235)) * IFERROR(VLOOKUP(H235, Relic_Price_Config!$G$5:$N$100, 6, FALSE), 15) + IF(N(S235)&gt;1, (N(S235)-1)*10, 0)) * IFERROR(VLOOKUP(G235, Relic_Price_Config!$A$5:$E$9, 2, FALSE), 1), 0))) * 0.1) / 5, 0) * 5)</f>
        <v>0</v>
      </c>
      <c r="AB235" s="7">
        <f t="shared" si="3"/>
        <v>0</v>
      </c>
    </row>
    <row r="236" spans="1:28" ht="24" customHeight="1">
      <c r="A236" s="14" t="s">
        <v>1198</v>
      </c>
      <c r="B236" s="7" t="s">
        <v>1199</v>
      </c>
      <c r="C236" s="6" t="s">
        <v>1200</v>
      </c>
      <c r="D236" s="13" t="s">
        <v>1045</v>
      </c>
      <c r="E236" s="13" t="s">
        <v>1046</v>
      </c>
      <c r="F236" s="13" t="s">
        <v>33</v>
      </c>
      <c r="G236" s="13" t="s">
        <v>208</v>
      </c>
      <c r="H236" s="7" t="s">
        <v>652</v>
      </c>
      <c r="I236" s="7" t="s">
        <v>108</v>
      </c>
      <c r="J236" s="7">
        <v>0</v>
      </c>
      <c r="K236" s="7">
        <v>0</v>
      </c>
      <c r="L236" s="7">
        <v>17</v>
      </c>
      <c r="M236" s="7" t="s">
        <v>37</v>
      </c>
      <c r="N236" s="7">
        <v>1</v>
      </c>
      <c r="O236" s="7">
        <v>1</v>
      </c>
      <c r="P236" s="7">
        <v>0</v>
      </c>
      <c r="Q236" s="7" t="s">
        <v>38</v>
      </c>
      <c r="R236" s="7">
        <v>0</v>
      </c>
      <c r="S236" s="7">
        <v>0</v>
      </c>
      <c r="T236" s="7">
        <v>0</v>
      </c>
      <c r="U236" s="7"/>
      <c r="V236" s="7"/>
      <c r="W236" s="7"/>
      <c r="X236" s="7"/>
      <c r="Y236" s="6" t="s">
        <v>1201</v>
      </c>
      <c r="Z236" s="6" t="s">
        <v>1177</v>
      </c>
      <c r="AA236" s="7">
        <f>IF(OR(D236="Monster", E236="Basic"), 0, ROUND((MIN(IFERROR(VLOOKUP(G236, Relic_Price_Config!$A$5:$E$9, 4, FALSE), 350), MAX(IFERROR(VLOOKUP(G236, Relic_Price_Config!$A$5:$E$9, 3, FALSE), 210), ROUND((IFERROR(VLOOKUP(H236, Relic_Price_Config!$G$5:$N$100, 4, FALSE), 280) + N(L236) * IF(N(O236)&gt;1, N(O236), 1) * IFERROR(VLOOKUP(H236, Relic_Price_Config!$G$5:$N$100, 5, FALSE), 10) + ABS(N(R236)) * IFERROR(VLOOKUP(H236, Relic_Price_Config!$G$5:$N$100, 6, FALSE), 15) + IF(N(S236)&gt;1, (N(S236)-1)*10, 0)) * IFERROR(VLOOKUP(G236, Relic_Price_Config!$A$5:$E$9, 2, FALSE), 1), 0))) * 0.1) / 5, 0) * 5)</f>
        <v>0</v>
      </c>
      <c r="AB236" s="7">
        <f t="shared" si="3"/>
        <v>0</v>
      </c>
    </row>
    <row r="237" spans="1:28" ht="24" customHeight="1">
      <c r="A237" s="14" t="s">
        <v>1202</v>
      </c>
      <c r="B237" s="7" t="s">
        <v>1203</v>
      </c>
      <c r="C237" s="6" t="s">
        <v>1204</v>
      </c>
      <c r="D237" s="13" t="s">
        <v>1045</v>
      </c>
      <c r="E237" s="13" t="s">
        <v>1046</v>
      </c>
      <c r="F237" s="13" t="s">
        <v>33</v>
      </c>
      <c r="G237" s="13" t="s">
        <v>208</v>
      </c>
      <c r="H237" s="7" t="s">
        <v>174</v>
      </c>
      <c r="I237" s="7" t="s">
        <v>108</v>
      </c>
      <c r="J237" s="7">
        <v>0</v>
      </c>
      <c r="K237" s="7">
        <v>0</v>
      </c>
      <c r="L237" s="7">
        <v>9</v>
      </c>
      <c r="M237" s="7" t="s">
        <v>37</v>
      </c>
      <c r="N237" s="7">
        <v>1</v>
      </c>
      <c r="O237" s="7">
        <v>2</v>
      </c>
      <c r="P237" s="7">
        <v>0</v>
      </c>
      <c r="Q237" s="7" t="s">
        <v>38</v>
      </c>
      <c r="R237" s="7">
        <v>0</v>
      </c>
      <c r="S237" s="7">
        <v>0</v>
      </c>
      <c r="T237" s="7">
        <v>0</v>
      </c>
      <c r="U237" s="7"/>
      <c r="V237" s="7"/>
      <c r="W237" s="7"/>
      <c r="X237" s="7"/>
      <c r="Y237" s="6" t="s">
        <v>1205</v>
      </c>
      <c r="Z237" s="6" t="s">
        <v>1177</v>
      </c>
      <c r="AA237" s="7">
        <f>IF(OR(D237="Monster", E237="Basic"), 0, ROUND((MIN(IFERROR(VLOOKUP(G237, Relic_Price_Config!$A$5:$E$9, 4, FALSE), 350), MAX(IFERROR(VLOOKUP(G237, Relic_Price_Config!$A$5:$E$9, 3, FALSE), 210), ROUND((IFERROR(VLOOKUP(H237, Relic_Price_Config!$G$5:$N$100, 4, FALSE), 280) + N(L237) * IF(N(O237)&gt;1, N(O237), 1) * IFERROR(VLOOKUP(H237, Relic_Price_Config!$G$5:$N$100, 5, FALSE), 10) + ABS(N(R237)) * IFERROR(VLOOKUP(H237, Relic_Price_Config!$G$5:$N$100, 6, FALSE), 15) + IF(N(S237)&gt;1, (N(S237)-1)*10, 0)) * IFERROR(VLOOKUP(G237, Relic_Price_Config!$A$5:$E$9, 2, FALSE), 1), 0))) * 0.1) / 5, 0) * 5)</f>
        <v>0</v>
      </c>
      <c r="AB237" s="7">
        <f t="shared" si="3"/>
        <v>0</v>
      </c>
    </row>
    <row r="238" spans="1:28" ht="24" customHeight="1">
      <c r="A238" s="15" t="s">
        <v>1206</v>
      </c>
      <c r="B238" s="7" t="s">
        <v>1207</v>
      </c>
      <c r="C238" s="6" t="s">
        <v>1208</v>
      </c>
      <c r="D238" s="13" t="s">
        <v>1045</v>
      </c>
      <c r="E238" s="13" t="s">
        <v>1046</v>
      </c>
      <c r="F238" s="13" t="s">
        <v>51</v>
      </c>
      <c r="G238" s="13" t="s">
        <v>208</v>
      </c>
      <c r="H238" s="7" t="s">
        <v>1091</v>
      </c>
      <c r="I238" s="7" t="s">
        <v>108</v>
      </c>
      <c r="J238" s="7">
        <v>0</v>
      </c>
      <c r="K238" s="7">
        <v>0</v>
      </c>
      <c r="L238" s="7">
        <v>0</v>
      </c>
      <c r="M238" s="7" t="s">
        <v>38</v>
      </c>
      <c r="N238" s="7">
        <v>0</v>
      </c>
      <c r="O238" s="7">
        <v>0</v>
      </c>
      <c r="P238" s="7">
        <v>0</v>
      </c>
      <c r="Q238" s="7" t="s">
        <v>357</v>
      </c>
      <c r="R238" s="7">
        <v>1</v>
      </c>
      <c r="S238" s="7">
        <v>2</v>
      </c>
      <c r="T238" s="7">
        <v>0</v>
      </c>
      <c r="U238" s="7"/>
      <c r="V238" s="7"/>
      <c r="W238" s="7"/>
      <c r="X238" s="7"/>
      <c r="Y238" s="6" t="s">
        <v>1209</v>
      </c>
      <c r="Z238" s="6" t="s">
        <v>1177</v>
      </c>
      <c r="AA238" s="7">
        <f>IF(OR(D238="Monster", E238="Basic"), 0, ROUND((MIN(IFERROR(VLOOKUP(G238, Relic_Price_Config!$A$5:$E$9, 4, FALSE), 350), MAX(IFERROR(VLOOKUP(G238, Relic_Price_Config!$A$5:$E$9, 3, FALSE), 210), ROUND((IFERROR(VLOOKUP(H238, Relic_Price_Config!$G$5:$N$100, 4, FALSE), 280) + N(L238) * IF(N(O238)&gt;1, N(O238), 1) * IFERROR(VLOOKUP(H238, Relic_Price_Config!$G$5:$N$100, 5, FALSE), 10) + ABS(N(R238)) * IFERROR(VLOOKUP(H238, Relic_Price_Config!$G$5:$N$100, 6, FALSE), 15) + IF(N(S238)&gt;1, (N(S238)-1)*10, 0)) * IFERROR(VLOOKUP(G238, Relic_Price_Config!$A$5:$E$9, 2, FALSE), 1), 0))) * 0.1) / 5, 0) * 5)</f>
        <v>0</v>
      </c>
      <c r="AB238" s="7">
        <f t="shared" si="3"/>
        <v>0</v>
      </c>
    </row>
    <row r="239" spans="1:28" ht="24" customHeight="1">
      <c r="A239" s="15" t="s">
        <v>1210</v>
      </c>
      <c r="B239" s="7" t="s">
        <v>1211</v>
      </c>
      <c r="C239" s="6" t="s">
        <v>1212</v>
      </c>
      <c r="D239" s="13" t="s">
        <v>1045</v>
      </c>
      <c r="E239" s="13" t="s">
        <v>1046</v>
      </c>
      <c r="F239" s="13" t="s">
        <v>51</v>
      </c>
      <c r="G239" s="13" t="s">
        <v>208</v>
      </c>
      <c r="H239" s="7" t="s">
        <v>613</v>
      </c>
      <c r="I239" s="7" t="s">
        <v>504</v>
      </c>
      <c r="J239" s="7">
        <v>0</v>
      </c>
      <c r="K239" s="7">
        <v>0</v>
      </c>
      <c r="L239" s="7">
        <v>0</v>
      </c>
      <c r="M239" s="7" t="s">
        <v>38</v>
      </c>
      <c r="N239" s="7">
        <v>0</v>
      </c>
      <c r="O239" s="7">
        <v>0</v>
      </c>
      <c r="P239" s="7">
        <v>0</v>
      </c>
      <c r="Q239" s="7" t="s">
        <v>71</v>
      </c>
      <c r="R239" s="7">
        <v>2</v>
      </c>
      <c r="S239" s="7">
        <v>-1</v>
      </c>
      <c r="T239" s="7">
        <v>0</v>
      </c>
      <c r="U239" s="7"/>
      <c r="V239" s="7"/>
      <c r="W239" s="7"/>
      <c r="X239" s="7"/>
      <c r="Y239" s="6" t="s">
        <v>1213</v>
      </c>
      <c r="Z239" s="6" t="s">
        <v>1177</v>
      </c>
      <c r="AA239" s="7">
        <f>IF(OR(D239="Monster", E239="Basic"), 0, ROUND((MIN(IFERROR(VLOOKUP(G239, Relic_Price_Config!$A$5:$E$9, 4, FALSE), 350), MAX(IFERROR(VLOOKUP(G239, Relic_Price_Config!$A$5:$E$9, 3, FALSE), 210), ROUND((IFERROR(VLOOKUP(H239, Relic_Price_Config!$G$5:$N$100, 4, FALSE), 280) + N(L239) * IF(N(O239)&gt;1, N(O239), 1) * IFERROR(VLOOKUP(H239, Relic_Price_Config!$G$5:$N$100, 5, FALSE), 10) + ABS(N(R239)) * IFERROR(VLOOKUP(H239, Relic_Price_Config!$G$5:$N$100, 6, FALSE), 15) + IF(N(S239)&gt;1, (N(S239)-1)*10, 0)) * IFERROR(VLOOKUP(G239, Relic_Price_Config!$A$5:$E$9, 2, FALSE), 1), 0))) * 0.1) / 5, 0) * 5)</f>
        <v>0</v>
      </c>
      <c r="AB239" s="7">
        <f t="shared" si="3"/>
        <v>0</v>
      </c>
    </row>
    <row r="240" spans="1:28" ht="24" customHeight="1">
      <c r="A240" s="15" t="s">
        <v>1214</v>
      </c>
      <c r="B240" s="7" t="s">
        <v>1215</v>
      </c>
      <c r="C240" s="6" t="s">
        <v>1216</v>
      </c>
      <c r="D240" s="13" t="s">
        <v>1045</v>
      </c>
      <c r="E240" s="13" t="s">
        <v>1046</v>
      </c>
      <c r="F240" s="13" t="s">
        <v>33</v>
      </c>
      <c r="G240" s="13" t="s">
        <v>208</v>
      </c>
      <c r="H240" s="7" t="s">
        <v>474</v>
      </c>
      <c r="I240" s="7" t="s">
        <v>108</v>
      </c>
      <c r="J240" s="7">
        <v>0</v>
      </c>
      <c r="K240" s="7">
        <v>0</v>
      </c>
      <c r="L240" s="7">
        <v>14</v>
      </c>
      <c r="M240" s="7" t="s">
        <v>37</v>
      </c>
      <c r="N240" s="7">
        <v>1</v>
      </c>
      <c r="O240" s="7">
        <v>1</v>
      </c>
      <c r="P240" s="7">
        <v>18</v>
      </c>
      <c r="Q240" s="7" t="s">
        <v>38</v>
      </c>
      <c r="R240" s="7">
        <v>0</v>
      </c>
      <c r="S240" s="7">
        <v>0</v>
      </c>
      <c r="T240" s="7">
        <v>0</v>
      </c>
      <c r="U240" s="7"/>
      <c r="V240" s="7"/>
      <c r="W240" s="7"/>
      <c r="X240" s="7"/>
      <c r="Y240" s="6" t="s">
        <v>1217</v>
      </c>
      <c r="Z240" s="6" t="s">
        <v>1177</v>
      </c>
      <c r="AA240" s="7">
        <f>IF(OR(D240="Monster", E240="Basic"), 0, ROUND((MIN(IFERROR(VLOOKUP(G240, Relic_Price_Config!$A$5:$E$9, 4, FALSE), 350), MAX(IFERROR(VLOOKUP(G240, Relic_Price_Config!$A$5:$E$9, 3, FALSE), 210), ROUND((IFERROR(VLOOKUP(H240, Relic_Price_Config!$G$5:$N$100, 4, FALSE), 280) + N(L240) * IF(N(O240)&gt;1, N(O240), 1) * IFERROR(VLOOKUP(H240, Relic_Price_Config!$G$5:$N$100, 5, FALSE), 10) + ABS(N(R240)) * IFERROR(VLOOKUP(H240, Relic_Price_Config!$G$5:$N$100, 6, FALSE), 15) + IF(N(S240)&gt;1, (N(S240)-1)*10, 0)) * IFERROR(VLOOKUP(G240, Relic_Price_Config!$A$5:$E$9, 2, FALSE), 1), 0))) * 0.1) / 5, 0) * 5)</f>
        <v>0</v>
      </c>
      <c r="AB240" s="7">
        <f t="shared" si="3"/>
        <v>0</v>
      </c>
    </row>
    <row r="241" spans="1:28" ht="24" customHeight="1">
      <c r="A241" s="14" t="s">
        <v>1218</v>
      </c>
      <c r="B241" s="7" t="s">
        <v>1219</v>
      </c>
      <c r="C241" s="6" t="s">
        <v>1220</v>
      </c>
      <c r="D241" s="13" t="s">
        <v>1045</v>
      </c>
      <c r="E241" s="13" t="s">
        <v>1046</v>
      </c>
      <c r="F241" s="13" t="s">
        <v>33</v>
      </c>
      <c r="G241" s="13" t="s">
        <v>208</v>
      </c>
      <c r="H241" s="7" t="s">
        <v>350</v>
      </c>
      <c r="I241" s="7" t="s">
        <v>108</v>
      </c>
      <c r="J241" s="7">
        <v>0</v>
      </c>
      <c r="K241" s="7">
        <v>0</v>
      </c>
      <c r="L241" s="7">
        <v>19</v>
      </c>
      <c r="M241" s="7" t="s">
        <v>37</v>
      </c>
      <c r="N241" s="7">
        <v>1</v>
      </c>
      <c r="O241" s="7">
        <v>1</v>
      </c>
      <c r="P241" s="7">
        <v>0</v>
      </c>
      <c r="Q241" s="7" t="s">
        <v>94</v>
      </c>
      <c r="R241" s="7">
        <v>1</v>
      </c>
      <c r="S241" s="7">
        <v>2</v>
      </c>
      <c r="T241" s="7">
        <v>0</v>
      </c>
      <c r="U241" s="7"/>
      <c r="V241" s="7"/>
      <c r="W241" s="7"/>
      <c r="X241" s="7"/>
      <c r="Y241" s="6" t="s">
        <v>1221</v>
      </c>
      <c r="Z241" s="6" t="s">
        <v>1222</v>
      </c>
      <c r="AA241" s="7">
        <f>IF(OR(D241="Monster", E241="Basic"), 0, ROUND((MIN(IFERROR(VLOOKUP(G241, Relic_Price_Config!$A$5:$E$9, 4, FALSE), 350), MAX(IFERROR(VLOOKUP(G241, Relic_Price_Config!$A$5:$E$9, 3, FALSE), 210), ROUND((IFERROR(VLOOKUP(H241, Relic_Price_Config!$G$5:$N$100, 4, FALSE), 280) + N(L241) * IF(N(O241)&gt;1, N(O241), 1) * IFERROR(VLOOKUP(H241, Relic_Price_Config!$G$5:$N$100, 5, FALSE), 10) + ABS(N(R241)) * IFERROR(VLOOKUP(H241, Relic_Price_Config!$G$5:$N$100, 6, FALSE), 15) + IF(N(S241)&gt;1, (N(S241)-1)*10, 0)) * IFERROR(VLOOKUP(G241, Relic_Price_Config!$A$5:$E$9, 2, FALSE), 1), 0))) * 0.1) / 5, 0) * 5)</f>
        <v>0</v>
      </c>
      <c r="AB241" s="7">
        <f t="shared" si="3"/>
        <v>0</v>
      </c>
    </row>
    <row r="242" spans="1:28" ht="24" customHeight="1">
      <c r="A242" s="14" t="s">
        <v>1223</v>
      </c>
      <c r="B242" s="7" t="s">
        <v>1224</v>
      </c>
      <c r="C242" s="6" t="s">
        <v>1225</v>
      </c>
      <c r="D242" s="13" t="s">
        <v>1045</v>
      </c>
      <c r="E242" s="13" t="s">
        <v>1046</v>
      </c>
      <c r="F242" s="13" t="s">
        <v>43</v>
      </c>
      <c r="G242" s="13" t="s">
        <v>208</v>
      </c>
      <c r="H242" s="7" t="s">
        <v>228</v>
      </c>
      <c r="I242" s="7" t="s">
        <v>45</v>
      </c>
      <c r="J242" s="7">
        <v>0</v>
      </c>
      <c r="K242" s="7">
        <v>0</v>
      </c>
      <c r="L242" s="7">
        <v>19</v>
      </c>
      <c r="M242" s="7" t="s">
        <v>46</v>
      </c>
      <c r="N242" s="7">
        <v>1</v>
      </c>
      <c r="O242" s="7">
        <v>1</v>
      </c>
      <c r="P242" s="7">
        <v>0</v>
      </c>
      <c r="Q242" s="7" t="s">
        <v>229</v>
      </c>
      <c r="R242" s="7">
        <v>2</v>
      </c>
      <c r="S242" s="7">
        <v>-1</v>
      </c>
      <c r="T242" s="7">
        <v>0</v>
      </c>
      <c r="U242" s="7"/>
      <c r="V242" s="7"/>
      <c r="W242" s="7"/>
      <c r="X242" s="7"/>
      <c r="Y242" s="6" t="s">
        <v>1226</v>
      </c>
      <c r="Z242" s="6" t="s">
        <v>1222</v>
      </c>
      <c r="AA242" s="7">
        <f>IF(OR(D242="Monster", E242="Basic"), 0, ROUND((MIN(IFERROR(VLOOKUP(G242, Relic_Price_Config!$A$5:$E$9, 4, FALSE), 350), MAX(IFERROR(VLOOKUP(G242, Relic_Price_Config!$A$5:$E$9, 3, FALSE), 210), ROUND((IFERROR(VLOOKUP(H242, Relic_Price_Config!$G$5:$N$100, 4, FALSE), 280) + N(L242) * IF(N(O242)&gt;1, N(O242), 1) * IFERROR(VLOOKUP(H242, Relic_Price_Config!$G$5:$N$100, 5, FALSE), 10) + ABS(N(R242)) * IFERROR(VLOOKUP(H242, Relic_Price_Config!$G$5:$N$100, 6, FALSE), 15) + IF(N(S242)&gt;1, (N(S242)-1)*10, 0)) * IFERROR(VLOOKUP(G242, Relic_Price_Config!$A$5:$E$9, 2, FALSE), 1), 0))) * 0.1) / 5, 0) * 5)</f>
        <v>0</v>
      </c>
      <c r="AB242" s="7">
        <f t="shared" si="3"/>
        <v>0</v>
      </c>
    </row>
    <row r="243" spans="1:28">
      <c r="A243" s="14" t="s">
        <v>1227</v>
      </c>
      <c r="B243" s="7" t="s">
        <v>1228</v>
      </c>
      <c r="C243" s="6" t="s">
        <v>1229</v>
      </c>
      <c r="D243" s="13" t="s">
        <v>1045</v>
      </c>
      <c r="E243" s="13" t="s">
        <v>1046</v>
      </c>
      <c r="F243" s="13" t="s">
        <v>33</v>
      </c>
      <c r="G243" s="13" t="s">
        <v>208</v>
      </c>
      <c r="H243" s="7" t="s">
        <v>174</v>
      </c>
      <c r="I243" s="7" t="s">
        <v>108</v>
      </c>
      <c r="J243" s="7">
        <v>0</v>
      </c>
      <c r="K243" s="7">
        <v>0</v>
      </c>
      <c r="L243" s="7">
        <v>3</v>
      </c>
      <c r="M243" s="7" t="s">
        <v>37</v>
      </c>
      <c r="N243" s="7">
        <v>1</v>
      </c>
      <c r="O243" s="7">
        <v>4</v>
      </c>
      <c r="P243" s="7">
        <v>0</v>
      </c>
      <c r="Q243" s="7" t="s">
        <v>38</v>
      </c>
      <c r="R243" s="7">
        <v>0</v>
      </c>
      <c r="S243" s="7">
        <v>0</v>
      </c>
      <c r="T243" s="7">
        <v>0</v>
      </c>
      <c r="U243" s="7"/>
      <c r="V243" s="7"/>
      <c r="W243" s="7"/>
      <c r="X243" s="7"/>
      <c r="Y243" s="6" t="s">
        <v>1230</v>
      </c>
      <c r="Z243" s="6" t="s">
        <v>1222</v>
      </c>
      <c r="AA243" s="7">
        <f>IF(OR(D243="Monster", E243="Basic"), 0, ROUND((MIN(IFERROR(VLOOKUP(G243, Relic_Price_Config!$A$5:$E$9, 4, FALSE), 350), MAX(IFERROR(VLOOKUP(G243, Relic_Price_Config!$A$5:$E$9, 3, FALSE), 210), ROUND((IFERROR(VLOOKUP(H243, Relic_Price_Config!$G$5:$N$100, 4, FALSE), 280) + N(L243) * IF(N(O243)&gt;1, N(O243), 1) * IFERROR(VLOOKUP(H243, Relic_Price_Config!$G$5:$N$100, 5, FALSE), 10) + ABS(N(R243)) * IFERROR(VLOOKUP(H243, Relic_Price_Config!$G$5:$N$100, 6, FALSE), 15) + IF(N(S243)&gt;1, (N(S243)-1)*10, 0)) * IFERROR(VLOOKUP(G243, Relic_Price_Config!$A$5:$E$9, 2, FALSE), 1), 0))) * 0.1) / 5, 0) * 5)</f>
        <v>0</v>
      </c>
      <c r="AB243" s="7">
        <f t="shared" si="3"/>
        <v>0</v>
      </c>
    </row>
    <row r="244" spans="1:28" ht="24" customHeight="1">
      <c r="A244" s="14" t="s">
        <v>1231</v>
      </c>
      <c r="B244" s="7" t="s">
        <v>1232</v>
      </c>
      <c r="C244" s="6" t="s">
        <v>1233</v>
      </c>
      <c r="D244" s="13" t="s">
        <v>1045</v>
      </c>
      <c r="E244" s="13" t="s">
        <v>1046</v>
      </c>
      <c r="F244" s="13" t="s">
        <v>33</v>
      </c>
      <c r="G244" s="13" t="s">
        <v>208</v>
      </c>
      <c r="H244" s="7" t="s">
        <v>356</v>
      </c>
      <c r="I244" s="7" t="s">
        <v>108</v>
      </c>
      <c r="J244" s="7">
        <v>0</v>
      </c>
      <c r="K244" s="7">
        <v>0</v>
      </c>
      <c r="L244" s="7">
        <v>25</v>
      </c>
      <c r="M244" s="7" t="s">
        <v>37</v>
      </c>
      <c r="N244" s="7">
        <v>1</v>
      </c>
      <c r="O244" s="7">
        <v>1</v>
      </c>
      <c r="P244" s="7">
        <v>0</v>
      </c>
      <c r="Q244" s="7" t="s">
        <v>357</v>
      </c>
      <c r="R244" s="7">
        <v>1</v>
      </c>
      <c r="S244" s="7">
        <v>2</v>
      </c>
      <c r="T244" s="7">
        <v>0</v>
      </c>
      <c r="U244" s="7"/>
      <c r="V244" s="7"/>
      <c r="W244" s="7"/>
      <c r="X244" s="7"/>
      <c r="Y244" s="6" t="s">
        <v>1234</v>
      </c>
      <c r="Z244" s="6" t="s">
        <v>1222</v>
      </c>
      <c r="AA244" s="7">
        <f>IF(OR(D244="Monster", E244="Basic"), 0, ROUND((MIN(IFERROR(VLOOKUP(G244, Relic_Price_Config!$A$5:$E$9, 4, FALSE), 350), MAX(IFERROR(VLOOKUP(G244, Relic_Price_Config!$A$5:$E$9, 3, FALSE), 210), ROUND((IFERROR(VLOOKUP(H244, Relic_Price_Config!$G$5:$N$100, 4, FALSE), 280) + N(L244) * IF(N(O244)&gt;1, N(O244), 1) * IFERROR(VLOOKUP(H244, Relic_Price_Config!$G$5:$N$100, 5, FALSE), 10) + ABS(N(R244)) * IFERROR(VLOOKUP(H244, Relic_Price_Config!$G$5:$N$100, 6, FALSE), 15) + IF(N(S244)&gt;1, (N(S244)-1)*10, 0)) * IFERROR(VLOOKUP(G244, Relic_Price_Config!$A$5:$E$9, 2, FALSE), 1), 0))) * 0.1) / 5, 0) * 5)</f>
        <v>0</v>
      </c>
      <c r="AB244" s="7">
        <f t="shared" si="3"/>
        <v>0</v>
      </c>
    </row>
    <row r="245" spans="1:28" ht="27.6" customHeight="1">
      <c r="A245" s="14" t="s">
        <v>1235</v>
      </c>
      <c r="B245" s="7" t="s">
        <v>1236</v>
      </c>
      <c r="C245" s="6" t="s">
        <v>1237</v>
      </c>
      <c r="D245" s="13" t="s">
        <v>1045</v>
      </c>
      <c r="E245" s="13" t="s">
        <v>1046</v>
      </c>
      <c r="F245" s="13" t="s">
        <v>33</v>
      </c>
      <c r="G245" s="13" t="s">
        <v>208</v>
      </c>
      <c r="H245" s="7" t="s">
        <v>174</v>
      </c>
      <c r="I245" s="7" t="s">
        <v>108</v>
      </c>
      <c r="J245" s="7">
        <v>0</v>
      </c>
      <c r="K245" s="7">
        <v>0</v>
      </c>
      <c r="L245" s="7">
        <v>3</v>
      </c>
      <c r="M245" s="7" t="s">
        <v>37</v>
      </c>
      <c r="N245" s="7">
        <v>1</v>
      </c>
      <c r="O245" s="7">
        <v>5</v>
      </c>
      <c r="P245" s="7">
        <v>0</v>
      </c>
      <c r="Q245" s="7" t="s">
        <v>38</v>
      </c>
      <c r="R245" s="7">
        <v>0</v>
      </c>
      <c r="S245" s="7">
        <v>0</v>
      </c>
      <c r="T245" s="7">
        <v>0</v>
      </c>
      <c r="U245" s="7"/>
      <c r="V245" s="7"/>
      <c r="W245" s="7"/>
      <c r="X245" s="7"/>
      <c r="Y245" s="6" t="s">
        <v>1238</v>
      </c>
      <c r="Z245" s="6" t="s">
        <v>1222</v>
      </c>
      <c r="AA245" s="7">
        <f>IF(OR(D245="Monster", E245="Basic"), 0, ROUND((MIN(IFERROR(VLOOKUP(G245, Relic_Price_Config!$A$5:$E$9, 4, FALSE), 350), MAX(IFERROR(VLOOKUP(G245, Relic_Price_Config!$A$5:$E$9, 3, FALSE), 210), ROUND((IFERROR(VLOOKUP(H245, Relic_Price_Config!$G$5:$N$100, 4, FALSE), 280) + N(L245) * IF(N(O245)&gt;1, N(O245), 1) * IFERROR(VLOOKUP(H245, Relic_Price_Config!$G$5:$N$100, 5, FALSE), 10) + ABS(N(R245)) * IFERROR(VLOOKUP(H245, Relic_Price_Config!$G$5:$N$100, 6, FALSE), 15) + IF(N(S245)&gt;1, (N(S245)-1)*10, 0)) * IFERROR(VLOOKUP(G245, Relic_Price_Config!$A$5:$E$9, 2, FALSE), 1), 0))) * 0.1) / 5, 0) * 5)</f>
        <v>0</v>
      </c>
      <c r="AB245" s="7">
        <f t="shared" si="3"/>
        <v>0</v>
      </c>
    </row>
    <row r="246" spans="1:28" ht="24" customHeight="1">
      <c r="A246" s="5" t="s">
        <v>1239</v>
      </c>
      <c r="B246" s="5" t="s">
        <v>1240</v>
      </c>
      <c r="C246" s="6" t="s">
        <v>1241</v>
      </c>
      <c r="D246" s="5" t="s">
        <v>1242</v>
      </c>
      <c r="E246" s="5" t="s">
        <v>1046</v>
      </c>
      <c r="F246" s="5" t="s">
        <v>51</v>
      </c>
      <c r="G246" s="5" t="s">
        <v>208</v>
      </c>
      <c r="H246" s="5" t="s">
        <v>146</v>
      </c>
      <c r="I246" s="5" t="s">
        <v>45</v>
      </c>
      <c r="J246" s="5">
        <v>0</v>
      </c>
      <c r="K246" s="5">
        <v>1</v>
      </c>
      <c r="L246" s="5">
        <v>1</v>
      </c>
      <c r="M246" s="5" t="s">
        <v>38</v>
      </c>
      <c r="N246" s="5">
        <v>0</v>
      </c>
      <c r="O246" s="5">
        <v>1</v>
      </c>
      <c r="P246" s="5">
        <v>0</v>
      </c>
      <c r="Q246" s="5" t="s">
        <v>38</v>
      </c>
      <c r="R246" s="5">
        <v>0</v>
      </c>
      <c r="S246" s="5">
        <v>0</v>
      </c>
      <c r="T246" s="5">
        <v>0</v>
      </c>
      <c r="U246" s="16"/>
      <c r="V246" s="16"/>
      <c r="W246" s="16"/>
      <c r="X246" s="16"/>
      <c r="Y246" s="6" t="s">
        <v>1243</v>
      </c>
      <c r="Z246" s="6" t="s">
        <v>620</v>
      </c>
      <c r="AA246" s="5">
        <f>IF(OR(D246="Monster", E246="Basic"), 0, ROUND((MIN(IFERROR(VLOOKUP(G246, Relic_Price_Config!$A$5:$E$9, 4, FALSE), 350), MAX(IFERROR(VLOOKUP(G246, Relic_Price_Config!$A$5:$E$9, 3, FALSE), 210), ROUND((IFERROR(VLOOKUP(H246, Relic_Price_Config!$G$5:$N$100, 4, FALSE), 280) + N(L246) * IF(N(O246)&gt;1, N(O246), 1) * IFERROR(VLOOKUP(H246, Relic_Price_Config!$G$5:$N$100, 5, FALSE), 10) + ABS(N(R246)) * IFERROR(VLOOKUP(H246, Relic_Price_Config!$G$5:$N$100, 6, FALSE), 15) + IF(N(S246)&gt;1, (N(S246)-1)*10, 0)) * IFERROR(VLOOKUP(G246, Relic_Price_Config!$A$5:$E$9, 2, FALSE), 1), 0))) * 0.1) / 5, 0) * 5)</f>
        <v>50</v>
      </c>
      <c r="AB246" s="5">
        <f t="shared" si="3"/>
        <v>35</v>
      </c>
    </row>
    <row r="247" spans="1:28" ht="24" customHeight="1">
      <c r="A247" s="5" t="s">
        <v>1244</v>
      </c>
      <c r="B247" s="5" t="s">
        <v>1245</v>
      </c>
      <c r="C247" s="6" t="s">
        <v>1246</v>
      </c>
      <c r="D247" s="5" t="s">
        <v>1242</v>
      </c>
      <c r="E247" s="5" t="s">
        <v>1247</v>
      </c>
      <c r="F247" s="5" t="s">
        <v>33</v>
      </c>
      <c r="G247" s="5" t="s">
        <v>34</v>
      </c>
      <c r="H247" s="5" t="s">
        <v>191</v>
      </c>
      <c r="I247" s="5" t="s">
        <v>36</v>
      </c>
      <c r="J247" s="5">
        <v>0</v>
      </c>
      <c r="K247" s="5">
        <v>1</v>
      </c>
      <c r="L247" s="5">
        <v>16</v>
      </c>
      <c r="M247" s="5" t="s">
        <v>37</v>
      </c>
      <c r="N247" s="5">
        <v>1</v>
      </c>
      <c r="O247" s="5">
        <v>1</v>
      </c>
      <c r="P247" s="5">
        <v>8</v>
      </c>
      <c r="Q247" s="5" t="s">
        <v>19</v>
      </c>
      <c r="R247" s="5">
        <v>4</v>
      </c>
      <c r="S247" s="5">
        <v>0</v>
      </c>
      <c r="T247" s="5">
        <v>4</v>
      </c>
      <c r="U247" s="16"/>
      <c r="V247" s="16"/>
      <c r="W247" s="16"/>
      <c r="X247" s="16"/>
      <c r="Y247" s="6" t="s">
        <v>1248</v>
      </c>
      <c r="Z247" s="6" t="s">
        <v>1249</v>
      </c>
      <c r="AA247" s="5">
        <f>IF(OR(D247="Monster", E247="Basic"), 0, ROUND((MIN(IFERROR(VLOOKUP(G247, Relic_Price_Config!$A$5:$E$9, 4, FALSE), 350), MAX(IFERROR(VLOOKUP(G247, Relic_Price_Config!$A$5:$E$9, 3, FALSE), 210), ROUND((IFERROR(VLOOKUP(H247, Relic_Price_Config!$G$5:$N$100, 4, FALSE), 280) + N(L247) * IF(N(O247)&gt;1, N(O247), 1) * IFERROR(VLOOKUP(H247, Relic_Price_Config!$G$5:$N$100, 5, FALSE), 10) + ABS(N(R247)) * IFERROR(VLOOKUP(H247, Relic_Price_Config!$G$5:$N$100, 6, FALSE), 15) + IF(N(S247)&gt;1, (N(S247)-1)*10, 0)) * IFERROR(VLOOKUP(G247, Relic_Price_Config!$A$5:$E$9, 2, FALSE), 1), 0))) * 0.1) / 5, 0) * 5)</f>
        <v>35</v>
      </c>
      <c r="AB247" s="5">
        <f t="shared" si="3"/>
        <v>25</v>
      </c>
    </row>
    <row r="248" spans="1:28" ht="24" customHeight="1">
      <c r="A248" s="5" t="s">
        <v>1250</v>
      </c>
      <c r="B248" s="5" t="s">
        <v>1251</v>
      </c>
      <c r="C248" s="6" t="s">
        <v>1252</v>
      </c>
      <c r="D248" s="5" t="s">
        <v>1242</v>
      </c>
      <c r="E248" s="5" t="s">
        <v>1247</v>
      </c>
      <c r="F248" s="5" t="s">
        <v>33</v>
      </c>
      <c r="G248" s="5" t="s">
        <v>34</v>
      </c>
      <c r="H248" s="5" t="s">
        <v>77</v>
      </c>
      <c r="I248" s="5" t="s">
        <v>36</v>
      </c>
      <c r="J248" s="5">
        <v>0</v>
      </c>
      <c r="K248" s="5">
        <v>1</v>
      </c>
      <c r="L248" s="5">
        <v>10</v>
      </c>
      <c r="M248" s="5" t="s">
        <v>37</v>
      </c>
      <c r="N248" s="5">
        <v>1</v>
      </c>
      <c r="O248" s="5">
        <v>1</v>
      </c>
      <c r="P248" s="5">
        <v>15</v>
      </c>
      <c r="Q248" s="5"/>
      <c r="R248" s="5">
        <v>0</v>
      </c>
      <c r="S248" s="5">
        <v>0</v>
      </c>
      <c r="T248" s="5">
        <v>0</v>
      </c>
      <c r="U248" s="16"/>
      <c r="V248" s="16"/>
      <c r="W248" s="16"/>
      <c r="X248" s="16"/>
      <c r="Y248" s="6" t="s">
        <v>1253</v>
      </c>
      <c r="Z248" s="6" t="s">
        <v>1254</v>
      </c>
      <c r="AA248" s="5">
        <f>IF(OR(D248="Monster", E248="Basic"), 0, ROUND((MIN(IFERROR(VLOOKUP(G248, Relic_Price_Config!$A$5:$E$9, 4, FALSE), 350), MAX(IFERROR(VLOOKUP(G248, Relic_Price_Config!$A$5:$E$9, 3, FALSE), 210), ROUND((IFERROR(VLOOKUP(H248, Relic_Price_Config!$G$5:$N$100, 4, FALSE), 280) + N(L248) * IF(N(O248)&gt;1, N(O248), 1) * IFERROR(VLOOKUP(H248, Relic_Price_Config!$G$5:$N$100, 5, FALSE), 10) + ABS(N(R248)) * IFERROR(VLOOKUP(H248, Relic_Price_Config!$G$5:$N$100, 6, FALSE), 15) + IF(N(S248)&gt;1, (N(S248)-1)*10, 0)) * IFERROR(VLOOKUP(G248, Relic_Price_Config!$A$5:$E$9, 2, FALSE), 1), 0))) * 0.1) / 5, 0) * 5)</f>
        <v>35</v>
      </c>
      <c r="AB248" s="5">
        <f t="shared" si="3"/>
        <v>25</v>
      </c>
    </row>
    <row r="249" spans="1:28" ht="24" customHeight="1">
      <c r="A249" s="5" t="s">
        <v>1255</v>
      </c>
      <c r="B249" s="5" t="s">
        <v>1256</v>
      </c>
      <c r="C249" s="6" t="s">
        <v>1257</v>
      </c>
      <c r="D249" s="5" t="s">
        <v>1242</v>
      </c>
      <c r="E249" s="5" t="s">
        <v>1247</v>
      </c>
      <c r="F249" s="5" t="s">
        <v>51</v>
      </c>
      <c r="G249" s="5" t="s">
        <v>208</v>
      </c>
      <c r="H249" s="5" t="s">
        <v>328</v>
      </c>
      <c r="I249" s="5" t="s">
        <v>45</v>
      </c>
      <c r="J249" s="5">
        <v>0</v>
      </c>
      <c r="K249" s="5">
        <v>1</v>
      </c>
      <c r="L249" s="5">
        <v>1</v>
      </c>
      <c r="M249" s="5"/>
      <c r="N249" s="5">
        <v>0</v>
      </c>
      <c r="O249" s="5">
        <v>1</v>
      </c>
      <c r="P249" s="5">
        <v>0</v>
      </c>
      <c r="Q249" s="5" t="s">
        <v>329</v>
      </c>
      <c r="R249" s="5">
        <v>1</v>
      </c>
      <c r="S249" s="5">
        <v>1</v>
      </c>
      <c r="T249" s="5">
        <v>0</v>
      </c>
      <c r="U249" s="16"/>
      <c r="V249" s="16"/>
      <c r="W249" s="16"/>
      <c r="X249" s="16"/>
      <c r="Y249" s="6" t="s">
        <v>1258</v>
      </c>
      <c r="Z249" s="6" t="s">
        <v>1259</v>
      </c>
      <c r="AA249" s="5">
        <f>IF(OR(D249="Monster", E249="Basic"), 0, ROUND((MIN(IFERROR(VLOOKUP(G249, Relic_Price_Config!$A$5:$E$9, 4, FALSE), 350), MAX(IFERROR(VLOOKUP(G249, Relic_Price_Config!$A$5:$E$9, 3, FALSE), 210), ROUND((IFERROR(VLOOKUP(H249, Relic_Price_Config!$G$5:$N$100, 4, FALSE), 280) + N(L249) * IF(N(O249)&gt;1, N(O249), 1) * IFERROR(VLOOKUP(H249, Relic_Price_Config!$G$5:$N$100, 5, FALSE), 10) + ABS(N(R249)) * IFERROR(VLOOKUP(H249, Relic_Price_Config!$G$5:$N$100, 6, FALSE), 15) + IF(N(S249)&gt;1, (N(S249)-1)*10, 0)) * IFERROR(VLOOKUP(G249, Relic_Price_Config!$A$5:$E$9, 2, FALSE), 1), 0))) * 0.1) / 5, 0) * 5)</f>
        <v>50</v>
      </c>
      <c r="AB249" s="5">
        <f t="shared" si="3"/>
        <v>35</v>
      </c>
    </row>
    <row r="250" spans="1:28" ht="24" customHeight="1">
      <c r="A250" s="5" t="s">
        <v>1260</v>
      </c>
      <c r="B250" s="5" t="s">
        <v>1261</v>
      </c>
      <c r="C250" s="6" t="s">
        <v>1262</v>
      </c>
      <c r="D250" s="5" t="s">
        <v>1242</v>
      </c>
      <c r="E250" s="5" t="s">
        <v>1247</v>
      </c>
      <c r="F250" s="5" t="s">
        <v>33</v>
      </c>
      <c r="G250" s="5" t="s">
        <v>208</v>
      </c>
      <c r="H250" s="5" t="s">
        <v>174</v>
      </c>
      <c r="I250" s="5" t="s">
        <v>108</v>
      </c>
      <c r="J250" s="5">
        <v>0</v>
      </c>
      <c r="K250" s="5">
        <v>1</v>
      </c>
      <c r="L250" s="5">
        <v>5</v>
      </c>
      <c r="M250" s="5" t="s">
        <v>37</v>
      </c>
      <c r="N250" s="5">
        <v>1</v>
      </c>
      <c r="O250" s="5">
        <v>3</v>
      </c>
      <c r="P250" s="5">
        <v>0</v>
      </c>
      <c r="Q250" s="5"/>
      <c r="R250" s="5">
        <v>0</v>
      </c>
      <c r="S250" s="5">
        <v>0</v>
      </c>
      <c r="T250" s="5">
        <v>0</v>
      </c>
      <c r="U250" s="16"/>
      <c r="V250" s="16"/>
      <c r="W250" s="16"/>
      <c r="X250" s="16"/>
      <c r="Y250" s="6" t="s">
        <v>1263</v>
      </c>
      <c r="Z250" s="6" t="s">
        <v>1264</v>
      </c>
      <c r="AA250" s="5">
        <f>IF(OR(D250="Monster", E250="Basic"), 0, ROUND((MIN(IFERROR(VLOOKUP(G250, Relic_Price_Config!$A$5:$E$9, 4, FALSE), 350), MAX(IFERROR(VLOOKUP(G250, Relic_Price_Config!$A$5:$E$9, 3, FALSE), 210), ROUND((IFERROR(VLOOKUP(H250, Relic_Price_Config!$G$5:$N$100, 4, FALSE), 280) + N(L250) * IF(N(O250)&gt;1, N(O250), 1) * IFERROR(VLOOKUP(H250, Relic_Price_Config!$G$5:$N$100, 5, FALSE), 10) + ABS(N(R250)) * IFERROR(VLOOKUP(H250, Relic_Price_Config!$G$5:$N$100, 6, FALSE), 15) + IF(N(S250)&gt;1, (N(S250)-1)*10, 0)) * IFERROR(VLOOKUP(G250, Relic_Price_Config!$A$5:$E$9, 2, FALSE), 1), 0))) * 0.1) / 5, 0) * 5)</f>
        <v>55</v>
      </c>
      <c r="AB250" s="5">
        <f t="shared" si="3"/>
        <v>40</v>
      </c>
    </row>
    <row r="251" spans="1:28" ht="24" customHeight="1">
      <c r="A251" s="5" t="s">
        <v>1265</v>
      </c>
      <c r="B251" s="5" t="s">
        <v>1266</v>
      </c>
      <c r="C251" s="6" t="s">
        <v>1267</v>
      </c>
      <c r="D251" s="5" t="s">
        <v>1242</v>
      </c>
      <c r="E251" s="5" t="s">
        <v>1247</v>
      </c>
      <c r="F251" s="5" t="s">
        <v>51</v>
      </c>
      <c r="G251" s="5" t="s">
        <v>295</v>
      </c>
      <c r="H251" s="5" t="s">
        <v>335</v>
      </c>
      <c r="I251" s="5" t="s">
        <v>108</v>
      </c>
      <c r="J251" s="5">
        <v>0</v>
      </c>
      <c r="K251" s="5">
        <v>1</v>
      </c>
      <c r="L251" s="5">
        <v>15</v>
      </c>
      <c r="M251" s="5" t="s">
        <v>37</v>
      </c>
      <c r="N251" s="5">
        <v>1</v>
      </c>
      <c r="O251" s="5">
        <v>1</v>
      </c>
      <c r="P251" s="5">
        <v>10</v>
      </c>
      <c r="Q251" s="5"/>
      <c r="R251" s="5">
        <v>0</v>
      </c>
      <c r="S251" s="5">
        <v>0</v>
      </c>
      <c r="T251" s="5">
        <v>0</v>
      </c>
      <c r="U251" s="16"/>
      <c r="V251" s="16"/>
      <c r="W251" s="16"/>
      <c r="X251" s="16"/>
      <c r="Y251" s="6" t="s">
        <v>1268</v>
      </c>
      <c r="Z251" s="6" t="s">
        <v>1269</v>
      </c>
      <c r="AA251" s="5">
        <f>IF(OR(D251="Monster", E251="Basic"), 0, ROUND((MIN(IFERROR(VLOOKUP(G251, Relic_Price_Config!$A$5:$E$9, 4, FALSE), 350), MAX(IFERROR(VLOOKUP(G251, Relic_Price_Config!$A$5:$E$9, 3, FALSE), 210), ROUND((IFERROR(VLOOKUP(H251, Relic_Price_Config!$G$5:$N$100, 4, FALSE), 280) + N(L251) * IF(N(O251)&gt;1, N(O251), 1) * IFERROR(VLOOKUP(H251, Relic_Price_Config!$G$5:$N$100, 5, FALSE), 10) + ABS(N(R251)) * IFERROR(VLOOKUP(H251, Relic_Price_Config!$G$5:$N$100, 6, FALSE), 15) + IF(N(S251)&gt;1, (N(S251)-1)*10, 0)) * IFERROR(VLOOKUP(G251, Relic_Price_Config!$A$5:$E$9, 2, FALSE), 1), 0))) * 0.1) / 5, 0) * 5)</f>
        <v>70</v>
      </c>
      <c r="AB251" s="5">
        <f t="shared" si="3"/>
        <v>50</v>
      </c>
    </row>
    <row r="252" spans="1:28" ht="24" customHeight="1">
      <c r="A252" s="5" t="s">
        <v>1270</v>
      </c>
      <c r="B252" s="5" t="s">
        <v>1271</v>
      </c>
      <c r="C252" s="6" t="s">
        <v>1272</v>
      </c>
      <c r="D252" s="5" t="s">
        <v>1242</v>
      </c>
      <c r="E252" s="5" t="s">
        <v>1247</v>
      </c>
      <c r="F252" s="5" t="s">
        <v>33</v>
      </c>
      <c r="G252" s="5" t="s">
        <v>295</v>
      </c>
      <c r="H252" s="5" t="s">
        <v>309</v>
      </c>
      <c r="I252" s="5" t="s">
        <v>108</v>
      </c>
      <c r="J252" s="5">
        <v>0</v>
      </c>
      <c r="K252" s="5">
        <v>1</v>
      </c>
      <c r="L252" s="5">
        <v>24</v>
      </c>
      <c r="M252" s="5" t="s">
        <v>37</v>
      </c>
      <c r="N252" s="5">
        <v>1</v>
      </c>
      <c r="O252" s="5">
        <v>1</v>
      </c>
      <c r="P252" s="5">
        <v>0</v>
      </c>
      <c r="Q252" s="5" t="s">
        <v>130</v>
      </c>
      <c r="R252" s="5">
        <v>3</v>
      </c>
      <c r="S252" s="5">
        <v>2</v>
      </c>
      <c r="T252" s="5">
        <v>5</v>
      </c>
      <c r="U252" s="16"/>
      <c r="V252" s="16"/>
      <c r="W252" s="16"/>
      <c r="X252" s="16"/>
      <c r="Y252" s="6" t="s">
        <v>1273</v>
      </c>
      <c r="Z252" s="6" t="s">
        <v>1274</v>
      </c>
      <c r="AA252" s="5">
        <f>IF(OR(D252="Monster", E252="Basic"), 0, ROUND((MIN(IFERROR(VLOOKUP(G252, Relic_Price_Config!$A$5:$E$9, 4, FALSE), 350), MAX(IFERROR(VLOOKUP(G252, Relic_Price_Config!$A$5:$E$9, 3, FALSE), 210), ROUND((IFERROR(VLOOKUP(H252, Relic_Price_Config!$G$5:$N$100, 4, FALSE), 280) + N(L252) * IF(N(O252)&gt;1, N(O252), 1) * IFERROR(VLOOKUP(H252, Relic_Price_Config!$G$5:$N$100, 5, FALSE), 10) + ABS(N(R252)) * IFERROR(VLOOKUP(H252, Relic_Price_Config!$G$5:$N$100, 6, FALSE), 15) + IF(N(S252)&gt;1, (N(S252)-1)*10, 0)) * IFERROR(VLOOKUP(G252, Relic_Price_Config!$A$5:$E$9, 2, FALSE), 1), 0))) * 0.1) / 5, 0) * 5)</f>
        <v>70</v>
      </c>
      <c r="AB252" s="5">
        <f t="shared" si="3"/>
        <v>50</v>
      </c>
    </row>
    <row r="253" spans="1:28" ht="24" customHeight="1">
      <c r="A253" s="5" t="s">
        <v>1275</v>
      </c>
      <c r="B253" s="5" t="s">
        <v>1276</v>
      </c>
      <c r="C253" s="6" t="s">
        <v>1277</v>
      </c>
      <c r="D253" s="11" t="s">
        <v>1045</v>
      </c>
      <c r="E253" s="11" t="s">
        <v>1046</v>
      </c>
      <c r="F253" s="11" t="s">
        <v>33</v>
      </c>
      <c r="G253" s="11" t="s">
        <v>295</v>
      </c>
      <c r="H253" s="5" t="s">
        <v>652</v>
      </c>
      <c r="I253" s="5" t="s">
        <v>108</v>
      </c>
      <c r="J253" s="5">
        <v>0</v>
      </c>
      <c r="K253" s="5">
        <v>0</v>
      </c>
      <c r="L253" s="5">
        <v>13</v>
      </c>
      <c r="M253" s="5" t="s">
        <v>37</v>
      </c>
      <c r="N253" s="5">
        <v>1</v>
      </c>
      <c r="O253" s="5">
        <v>1</v>
      </c>
      <c r="P253" s="5">
        <v>0</v>
      </c>
      <c r="Q253" s="5" t="s">
        <v>38</v>
      </c>
      <c r="R253" s="5">
        <v>0</v>
      </c>
      <c r="S253" s="5">
        <v>0</v>
      </c>
      <c r="T253" s="5">
        <v>0</v>
      </c>
      <c r="U253" s="5"/>
      <c r="V253" s="5"/>
      <c r="W253" s="5"/>
      <c r="X253" s="5"/>
      <c r="Y253" s="6" t="s">
        <v>1278</v>
      </c>
      <c r="Z253" s="12" t="s">
        <v>1279</v>
      </c>
      <c r="AA253" s="5">
        <f>IF(OR(D253="Monster", E253="Basic"), 0, ROUND((MIN(IFERROR(VLOOKUP(G253, Relic_Price_Config!$A$5:$E$9, 4, FALSE), 350), MAX(IFERROR(VLOOKUP(G253, Relic_Price_Config!$A$5:$E$9, 3, FALSE), 210), ROUND((IFERROR(VLOOKUP(H253, Relic_Price_Config!$G$5:$N$100, 4, FALSE), 280) + N(L253) * IF(N(O253)&gt;1, N(O253), 1) * IFERROR(VLOOKUP(H253, Relic_Price_Config!$G$5:$N$100, 5, FALSE), 10) + ABS(N(R253)) * IFERROR(VLOOKUP(H253, Relic_Price_Config!$G$5:$N$100, 6, FALSE), 15) + IF(N(S253)&gt;1, (N(S253)-1)*10, 0)) * IFERROR(VLOOKUP(G253, Relic_Price_Config!$A$5:$E$9, 2, FALSE), 1), 0))) * 0.1) / 5, 0) * 5)</f>
        <v>0</v>
      </c>
      <c r="AB253" s="5">
        <f t="shared" si="3"/>
        <v>0</v>
      </c>
    </row>
    <row r="254" spans="1:28" ht="24" customHeight="1">
      <c r="A254" s="5" t="s">
        <v>1280</v>
      </c>
      <c r="B254" s="5" t="s">
        <v>1281</v>
      </c>
      <c r="C254" s="6" t="s">
        <v>1282</v>
      </c>
      <c r="D254" s="11" t="s">
        <v>1045</v>
      </c>
      <c r="E254" s="11" t="s">
        <v>1046</v>
      </c>
      <c r="F254" s="11" t="s">
        <v>43</v>
      </c>
      <c r="G254" s="11" t="s">
        <v>295</v>
      </c>
      <c r="H254" s="5" t="s">
        <v>44</v>
      </c>
      <c r="I254" s="5" t="s">
        <v>45</v>
      </c>
      <c r="J254" s="5">
        <v>0</v>
      </c>
      <c r="K254" s="5">
        <v>0</v>
      </c>
      <c r="L254" s="5">
        <v>14</v>
      </c>
      <c r="M254" s="5" t="s">
        <v>46</v>
      </c>
      <c r="N254" s="5">
        <v>1</v>
      </c>
      <c r="O254" s="5">
        <v>1</v>
      </c>
      <c r="P254" s="5">
        <v>0</v>
      </c>
      <c r="Q254" s="5" t="s">
        <v>38</v>
      </c>
      <c r="R254" s="5">
        <v>0</v>
      </c>
      <c r="S254" s="5">
        <v>0</v>
      </c>
      <c r="T254" s="5">
        <v>0</v>
      </c>
      <c r="U254" s="5"/>
      <c r="V254" s="5"/>
      <c r="W254" s="5"/>
      <c r="X254" s="5"/>
      <c r="Y254" s="6" t="s">
        <v>1283</v>
      </c>
      <c r="Z254" s="12" t="s">
        <v>1284</v>
      </c>
      <c r="AA254" s="5">
        <f>IF(OR(D254="Monster", E254="Basic"), 0, ROUND((MIN(IFERROR(VLOOKUP(G254, Relic_Price_Config!$A$5:$E$9, 4, FALSE), 350), MAX(IFERROR(VLOOKUP(G254, Relic_Price_Config!$A$5:$E$9, 3, FALSE), 210), ROUND((IFERROR(VLOOKUP(H254, Relic_Price_Config!$G$5:$N$100, 4, FALSE), 280) + N(L254) * IF(N(O254)&gt;1, N(O254), 1) * IFERROR(VLOOKUP(H254, Relic_Price_Config!$G$5:$N$100, 5, FALSE), 10) + ABS(N(R254)) * IFERROR(VLOOKUP(H254, Relic_Price_Config!$G$5:$N$100, 6, FALSE), 15) + IF(N(S254)&gt;1, (N(S254)-1)*10, 0)) * IFERROR(VLOOKUP(G254, Relic_Price_Config!$A$5:$E$9, 2, FALSE), 1), 0))) * 0.1) / 5, 0) * 5)</f>
        <v>0</v>
      </c>
      <c r="AB254" s="5">
        <f t="shared" si="3"/>
        <v>0</v>
      </c>
    </row>
    <row r="255" spans="1:28" ht="24" customHeight="1">
      <c r="A255" s="5" t="s">
        <v>1285</v>
      </c>
      <c r="B255" s="5" t="s">
        <v>1286</v>
      </c>
      <c r="C255" s="6" t="s">
        <v>1287</v>
      </c>
      <c r="D255" s="11" t="s">
        <v>1045</v>
      </c>
      <c r="E255" s="11" t="s">
        <v>1046</v>
      </c>
      <c r="F255" s="11" t="s">
        <v>43</v>
      </c>
      <c r="G255" s="11" t="s">
        <v>295</v>
      </c>
      <c r="H255" s="5" t="s">
        <v>228</v>
      </c>
      <c r="I255" s="5" t="s">
        <v>45</v>
      </c>
      <c r="J255" s="5">
        <v>0</v>
      </c>
      <c r="K255" s="5">
        <v>0</v>
      </c>
      <c r="L255" s="5">
        <v>16</v>
      </c>
      <c r="M255" s="5" t="s">
        <v>46</v>
      </c>
      <c r="N255" s="5">
        <v>1</v>
      </c>
      <c r="O255" s="5">
        <v>1</v>
      </c>
      <c r="P255" s="5">
        <v>0</v>
      </c>
      <c r="Q255" s="5" t="s">
        <v>229</v>
      </c>
      <c r="R255" s="5">
        <v>2</v>
      </c>
      <c r="S255" s="5">
        <v>-1</v>
      </c>
      <c r="T255" s="5">
        <v>0</v>
      </c>
      <c r="U255" s="5"/>
      <c r="V255" s="5"/>
      <c r="W255" s="5"/>
      <c r="X255" s="5"/>
      <c r="Y255" s="6" t="s">
        <v>1288</v>
      </c>
      <c r="Z255" s="12" t="s">
        <v>1289</v>
      </c>
      <c r="AA255" s="5">
        <f>IF(OR(D255="Monster", E255="Basic"), 0, ROUND((MIN(IFERROR(VLOOKUP(G255, Relic_Price_Config!$A$5:$E$9, 4, FALSE), 350), MAX(IFERROR(VLOOKUP(G255, Relic_Price_Config!$A$5:$E$9, 3, FALSE), 210), ROUND((IFERROR(VLOOKUP(H255, Relic_Price_Config!$G$5:$N$100, 4, FALSE), 280) + N(L255) * IF(N(O255)&gt;1, N(O255), 1) * IFERROR(VLOOKUP(H255, Relic_Price_Config!$G$5:$N$100, 5, FALSE), 10) + ABS(N(R255)) * IFERROR(VLOOKUP(H255, Relic_Price_Config!$G$5:$N$100, 6, FALSE), 15) + IF(N(S255)&gt;1, (N(S255)-1)*10, 0)) * IFERROR(VLOOKUP(G255, Relic_Price_Config!$A$5:$E$9, 2, FALSE), 1), 0))) * 0.1) / 5, 0) * 5)</f>
        <v>0</v>
      </c>
      <c r="AB255" s="5">
        <f t="shared" si="3"/>
        <v>0</v>
      </c>
    </row>
    <row r="256" spans="1:28" ht="24" customHeight="1">
      <c r="A256" s="5" t="s">
        <v>1290</v>
      </c>
      <c r="B256" s="5" t="s">
        <v>1291</v>
      </c>
      <c r="C256" s="64" t="s">
        <v>1292</v>
      </c>
      <c r="D256" s="11" t="s">
        <v>1045</v>
      </c>
      <c r="E256" s="11" t="s">
        <v>1046</v>
      </c>
      <c r="F256" s="11" t="s">
        <v>43</v>
      </c>
      <c r="G256" s="11" t="s">
        <v>295</v>
      </c>
      <c r="H256" s="5" t="s">
        <v>52</v>
      </c>
      <c r="I256" s="5" t="s">
        <v>45</v>
      </c>
      <c r="J256" s="5">
        <v>0</v>
      </c>
      <c r="K256" s="5">
        <v>0</v>
      </c>
      <c r="L256" s="5">
        <v>16</v>
      </c>
      <c r="M256" s="5" t="s">
        <v>46</v>
      </c>
      <c r="N256" s="5">
        <v>1</v>
      </c>
      <c r="O256" s="5">
        <v>1</v>
      </c>
      <c r="P256" s="5">
        <v>4</v>
      </c>
      <c r="Q256" s="5" t="s">
        <v>53</v>
      </c>
      <c r="R256" s="5">
        <v>1</v>
      </c>
      <c r="S256" s="5">
        <v>1</v>
      </c>
      <c r="T256" s="5">
        <v>0</v>
      </c>
      <c r="U256" s="5"/>
      <c r="V256" s="5"/>
      <c r="W256" s="5"/>
      <c r="X256" s="5"/>
      <c r="Y256" s="6" t="s">
        <v>1293</v>
      </c>
      <c r="Z256" s="12" t="s">
        <v>1294</v>
      </c>
      <c r="AA256" s="5">
        <f>IF(OR(D256="Monster", E256="Basic"), 0, ROUND((MIN(IFERROR(VLOOKUP(G256, Relic_Price_Config!$A$5:$E$9, 4, FALSE), 350), MAX(IFERROR(VLOOKUP(G256, Relic_Price_Config!$A$5:$E$9, 3, FALSE), 210), ROUND((IFERROR(VLOOKUP(H256, Relic_Price_Config!$G$5:$N$100, 4, FALSE), 280) + N(L256) * IF(N(O256)&gt;1, N(O256), 1) * IFERROR(VLOOKUP(H256, Relic_Price_Config!$G$5:$N$100, 5, FALSE), 10) + ABS(N(R256)) * IFERROR(VLOOKUP(H256, Relic_Price_Config!$G$5:$N$100, 6, FALSE), 15) + IF(N(S256)&gt;1, (N(S256)-1)*10, 0)) * IFERROR(VLOOKUP(G256, Relic_Price_Config!$A$5:$E$9, 2, FALSE), 1), 0))) * 0.1) / 5, 0) * 5)</f>
        <v>0</v>
      </c>
      <c r="AB256" s="5">
        <f t="shared" si="3"/>
        <v>0</v>
      </c>
    </row>
    <row r="257" spans="1:28" ht="24" customHeight="1">
      <c r="A257" s="5" t="s">
        <v>1295</v>
      </c>
      <c r="B257" s="5" t="s">
        <v>1296</v>
      </c>
      <c r="C257" s="6" t="s">
        <v>1297</v>
      </c>
      <c r="D257" s="11" t="s">
        <v>1045</v>
      </c>
      <c r="E257" s="11" t="s">
        <v>1046</v>
      </c>
      <c r="F257" s="11" t="s">
        <v>43</v>
      </c>
      <c r="G257" s="11" t="s">
        <v>295</v>
      </c>
      <c r="H257" s="5" t="s">
        <v>250</v>
      </c>
      <c r="I257" s="5" t="s">
        <v>45</v>
      </c>
      <c r="J257" s="5">
        <v>0</v>
      </c>
      <c r="K257" s="5">
        <v>0</v>
      </c>
      <c r="L257" s="5">
        <v>15</v>
      </c>
      <c r="M257" s="5" t="s">
        <v>46</v>
      </c>
      <c r="N257" s="5">
        <v>1</v>
      </c>
      <c r="O257" s="5">
        <v>1</v>
      </c>
      <c r="P257" s="5">
        <v>0</v>
      </c>
      <c r="Q257" s="5" t="s">
        <v>251</v>
      </c>
      <c r="R257" s="5">
        <v>30</v>
      </c>
      <c r="S257" s="5">
        <v>1</v>
      </c>
      <c r="T257" s="5">
        <v>0</v>
      </c>
      <c r="U257" s="5"/>
      <c r="V257" s="5"/>
      <c r="W257" s="5"/>
      <c r="X257" s="5"/>
      <c r="Y257" s="6" t="s">
        <v>1298</v>
      </c>
      <c r="Z257" s="12" t="s">
        <v>1299</v>
      </c>
      <c r="AA257" s="5">
        <f>IF(OR(D257="Monster", E257="Basic"), 0, ROUND((MIN(IFERROR(VLOOKUP(G257, Relic_Price_Config!$A$5:$E$9, 4, FALSE), 350), MAX(IFERROR(VLOOKUP(G257, Relic_Price_Config!$A$5:$E$9, 3, FALSE), 210), ROUND((IFERROR(VLOOKUP(H257, Relic_Price_Config!$G$5:$N$100, 4, FALSE), 280) + N(L257) * IF(N(O257)&gt;1, N(O257), 1) * IFERROR(VLOOKUP(H257, Relic_Price_Config!$G$5:$N$100, 5, FALSE), 10) + ABS(N(R257)) * IFERROR(VLOOKUP(H257, Relic_Price_Config!$G$5:$N$100, 6, FALSE), 15) + IF(N(S257)&gt;1, (N(S257)-1)*10, 0)) * IFERROR(VLOOKUP(G257, Relic_Price_Config!$A$5:$E$9, 2, FALSE), 1), 0))) * 0.1) / 5, 0) * 5)</f>
        <v>0</v>
      </c>
      <c r="AB257" s="5">
        <f t="shared" si="3"/>
        <v>0</v>
      </c>
    </row>
    <row r="258" spans="1:28" ht="24" customHeight="1">
      <c r="A258" s="5" t="s">
        <v>1300</v>
      </c>
      <c r="B258" s="5" t="s">
        <v>1301</v>
      </c>
      <c r="C258" s="64" t="s">
        <v>1302</v>
      </c>
      <c r="D258" s="11" t="s">
        <v>1045</v>
      </c>
      <c r="E258" s="11" t="s">
        <v>1046</v>
      </c>
      <c r="F258" s="11" t="s">
        <v>33</v>
      </c>
      <c r="G258" s="11" t="s">
        <v>295</v>
      </c>
      <c r="H258" s="5" t="s">
        <v>309</v>
      </c>
      <c r="I258" s="5" t="s">
        <v>108</v>
      </c>
      <c r="J258" s="5">
        <v>0</v>
      </c>
      <c r="K258" s="5">
        <v>0</v>
      </c>
      <c r="L258" s="5">
        <v>12</v>
      </c>
      <c r="M258" s="5" t="s">
        <v>37</v>
      </c>
      <c r="N258" s="5">
        <v>1</v>
      </c>
      <c r="O258" s="5">
        <v>1</v>
      </c>
      <c r="P258" s="5">
        <v>0</v>
      </c>
      <c r="Q258" s="5" t="s">
        <v>130</v>
      </c>
      <c r="R258" s="5">
        <v>1</v>
      </c>
      <c r="S258" s="5">
        <v>2</v>
      </c>
      <c r="T258" s="5">
        <v>0</v>
      </c>
      <c r="U258" s="5"/>
      <c r="V258" s="5"/>
      <c r="W258" s="5"/>
      <c r="X258" s="5"/>
      <c r="Y258" s="6" t="s">
        <v>1303</v>
      </c>
      <c r="Z258" s="12" t="s">
        <v>1304</v>
      </c>
      <c r="AA258" s="5">
        <f>IF(OR(D258="Monster", E258="Basic"), 0, ROUND((MIN(IFERROR(VLOOKUP(G258, Relic_Price_Config!$A$5:$E$9, 4, FALSE), 350), MAX(IFERROR(VLOOKUP(G258, Relic_Price_Config!$A$5:$E$9, 3, FALSE), 210), ROUND((IFERROR(VLOOKUP(H258, Relic_Price_Config!$G$5:$N$100, 4, FALSE), 280) + N(L258) * IF(N(O258)&gt;1, N(O258), 1) * IFERROR(VLOOKUP(H258, Relic_Price_Config!$G$5:$N$100, 5, FALSE), 10) + ABS(N(R258)) * IFERROR(VLOOKUP(H258, Relic_Price_Config!$G$5:$N$100, 6, FALSE), 15) + IF(N(S258)&gt;1, (N(S258)-1)*10, 0)) * IFERROR(VLOOKUP(G258, Relic_Price_Config!$A$5:$E$9, 2, FALSE), 1), 0))) * 0.1) / 5, 0) * 5)</f>
        <v>0</v>
      </c>
      <c r="AB258" s="5">
        <f t="shared" ref="AB258:AB321" si="4">IF(AA258&lt;=0, 0, ROUND((AA258*0.7)/5, 0)*5)</f>
        <v>0</v>
      </c>
    </row>
    <row r="259" spans="1:28" ht="24" customHeight="1">
      <c r="A259" s="5" t="s">
        <v>1305</v>
      </c>
      <c r="B259" s="5" t="s">
        <v>1306</v>
      </c>
      <c r="C259" s="6" t="s">
        <v>1307</v>
      </c>
      <c r="D259" s="11" t="s">
        <v>1045</v>
      </c>
      <c r="E259" s="11" t="s">
        <v>1046</v>
      </c>
      <c r="F259" s="11" t="s">
        <v>51</v>
      </c>
      <c r="G259" s="11" t="s">
        <v>295</v>
      </c>
      <c r="H259" s="5" t="s">
        <v>1308</v>
      </c>
      <c r="I259" s="5" t="s">
        <v>108</v>
      </c>
      <c r="J259" s="5">
        <v>0</v>
      </c>
      <c r="K259" s="5">
        <v>0</v>
      </c>
      <c r="L259" s="5">
        <v>0</v>
      </c>
      <c r="M259" s="5" t="s">
        <v>38</v>
      </c>
      <c r="N259" s="5">
        <v>0</v>
      </c>
      <c r="O259" s="5">
        <v>0</v>
      </c>
      <c r="P259" s="5">
        <v>0</v>
      </c>
      <c r="Q259" s="5" t="s">
        <v>130</v>
      </c>
      <c r="R259" s="5">
        <v>2</v>
      </c>
      <c r="S259" s="5">
        <v>2</v>
      </c>
      <c r="T259" s="5">
        <v>0</v>
      </c>
      <c r="U259" s="5"/>
      <c r="V259" s="5"/>
      <c r="W259" s="5"/>
      <c r="X259" s="5"/>
      <c r="Y259" s="6" t="s">
        <v>1309</v>
      </c>
      <c r="Z259" s="12" t="s">
        <v>1304</v>
      </c>
      <c r="AA259" s="5">
        <f>IF(OR(D259="Monster", E259="Basic"), 0, ROUND((MIN(IFERROR(VLOOKUP(G259, Relic_Price_Config!$A$5:$E$9, 4, FALSE), 350), MAX(IFERROR(VLOOKUP(G259, Relic_Price_Config!$A$5:$E$9, 3, FALSE), 210), ROUND((IFERROR(VLOOKUP(H259, Relic_Price_Config!$G$5:$N$100, 4, FALSE), 280) + N(L259) * IF(N(O259)&gt;1, N(O259), 1) * IFERROR(VLOOKUP(H259, Relic_Price_Config!$G$5:$N$100, 5, FALSE), 10) + ABS(N(R259)) * IFERROR(VLOOKUP(H259, Relic_Price_Config!$G$5:$N$100, 6, FALSE), 15) + IF(N(S259)&gt;1, (N(S259)-1)*10, 0)) * IFERROR(VLOOKUP(G259, Relic_Price_Config!$A$5:$E$9, 2, FALSE), 1), 0))) * 0.1) / 5, 0) * 5)</f>
        <v>0</v>
      </c>
      <c r="AB259" s="5">
        <f t="shared" si="4"/>
        <v>0</v>
      </c>
    </row>
    <row r="260" spans="1:28" ht="24" customHeight="1">
      <c r="A260" s="5" t="s">
        <v>1310</v>
      </c>
      <c r="B260" s="5" t="s">
        <v>1311</v>
      </c>
      <c r="C260" s="6" t="s">
        <v>1312</v>
      </c>
      <c r="D260" s="11" t="s">
        <v>1045</v>
      </c>
      <c r="E260" s="11" t="s">
        <v>1046</v>
      </c>
      <c r="F260" s="11" t="s">
        <v>51</v>
      </c>
      <c r="G260" s="11" t="s">
        <v>295</v>
      </c>
      <c r="H260" s="5" t="s">
        <v>158</v>
      </c>
      <c r="I260" s="5" t="s">
        <v>45</v>
      </c>
      <c r="J260" s="5">
        <v>0</v>
      </c>
      <c r="K260" s="5">
        <v>0</v>
      </c>
      <c r="L260" s="5">
        <v>16</v>
      </c>
      <c r="M260" s="5" t="s">
        <v>46</v>
      </c>
      <c r="N260" s="5">
        <v>1</v>
      </c>
      <c r="O260" s="5">
        <v>1</v>
      </c>
      <c r="P260" s="5">
        <v>0</v>
      </c>
      <c r="Q260" s="5" t="s">
        <v>159</v>
      </c>
      <c r="R260" s="5">
        <v>1</v>
      </c>
      <c r="S260" s="5">
        <v>2</v>
      </c>
      <c r="T260" s="5">
        <v>0</v>
      </c>
      <c r="U260" s="5"/>
      <c r="V260" s="5"/>
      <c r="W260" s="5"/>
      <c r="X260" s="5"/>
      <c r="Y260" s="6" t="s">
        <v>1313</v>
      </c>
      <c r="Z260" s="12" t="s">
        <v>1314</v>
      </c>
      <c r="AA260" s="5">
        <f>IF(OR(D260="Monster", E260="Basic"), 0, ROUND((MIN(IFERROR(VLOOKUP(G260, Relic_Price_Config!$A$5:$E$9, 4, FALSE), 350), MAX(IFERROR(VLOOKUP(G260, Relic_Price_Config!$A$5:$E$9, 3, FALSE), 210), ROUND((IFERROR(VLOOKUP(H260, Relic_Price_Config!$G$5:$N$100, 4, FALSE), 280) + N(L260) * IF(N(O260)&gt;1, N(O260), 1) * IFERROR(VLOOKUP(H260, Relic_Price_Config!$G$5:$N$100, 5, FALSE), 10) + ABS(N(R260)) * IFERROR(VLOOKUP(H260, Relic_Price_Config!$G$5:$N$100, 6, FALSE), 15) + IF(N(S260)&gt;1, (N(S260)-1)*10, 0)) * IFERROR(VLOOKUP(G260, Relic_Price_Config!$A$5:$E$9, 2, FALSE), 1), 0))) * 0.1) / 5, 0) * 5)</f>
        <v>0</v>
      </c>
      <c r="AB260" s="5">
        <f t="shared" si="4"/>
        <v>0</v>
      </c>
    </row>
    <row r="261" spans="1:28" ht="27.6" customHeight="1">
      <c r="A261" s="5" t="s">
        <v>1315</v>
      </c>
      <c r="B261" s="5" t="s">
        <v>1316</v>
      </c>
      <c r="C261" s="6" t="s">
        <v>1317</v>
      </c>
      <c r="D261" s="11" t="s">
        <v>1045</v>
      </c>
      <c r="E261" s="11" t="s">
        <v>1046</v>
      </c>
      <c r="F261" s="11" t="s">
        <v>33</v>
      </c>
      <c r="G261" s="11" t="s">
        <v>295</v>
      </c>
      <c r="H261" s="5" t="s">
        <v>652</v>
      </c>
      <c r="I261" s="5" t="s">
        <v>108</v>
      </c>
      <c r="J261" s="5">
        <v>0</v>
      </c>
      <c r="K261" s="5">
        <v>0</v>
      </c>
      <c r="L261" s="5">
        <v>16</v>
      </c>
      <c r="M261" s="5" t="s">
        <v>37</v>
      </c>
      <c r="N261" s="5">
        <v>1</v>
      </c>
      <c r="O261" s="5">
        <v>1</v>
      </c>
      <c r="P261" s="5">
        <v>0</v>
      </c>
      <c r="Q261" s="5" t="s">
        <v>38</v>
      </c>
      <c r="R261" s="5">
        <v>0</v>
      </c>
      <c r="S261" s="5">
        <v>0</v>
      </c>
      <c r="T261" s="5">
        <v>0</v>
      </c>
      <c r="U261" s="5"/>
      <c r="V261" s="5"/>
      <c r="W261" s="5"/>
      <c r="X261" s="5"/>
      <c r="Y261" s="6" t="s">
        <v>1318</v>
      </c>
      <c r="Z261" s="12" t="s">
        <v>1319</v>
      </c>
      <c r="AA261" s="5">
        <f>IF(OR(D261="Monster", E261="Basic"), 0, ROUND((MIN(IFERROR(VLOOKUP(G261, Relic_Price_Config!$A$5:$E$9, 4, FALSE), 350), MAX(IFERROR(VLOOKUP(G261, Relic_Price_Config!$A$5:$E$9, 3, FALSE), 210), ROUND((IFERROR(VLOOKUP(H261, Relic_Price_Config!$G$5:$N$100, 4, FALSE), 280) + N(L261) * IF(N(O261)&gt;1, N(O261), 1) * IFERROR(VLOOKUP(H261, Relic_Price_Config!$G$5:$N$100, 5, FALSE), 10) + ABS(N(R261)) * IFERROR(VLOOKUP(H261, Relic_Price_Config!$G$5:$N$100, 6, FALSE), 15) + IF(N(S261)&gt;1, (N(S261)-1)*10, 0)) * IFERROR(VLOOKUP(G261, Relic_Price_Config!$A$5:$E$9, 2, FALSE), 1), 0))) * 0.1) / 5, 0) * 5)</f>
        <v>0</v>
      </c>
      <c r="AB261" s="5">
        <f t="shared" si="4"/>
        <v>0</v>
      </c>
    </row>
    <row r="262" spans="1:28" ht="24" customHeight="1">
      <c r="A262" s="5" t="s">
        <v>1320</v>
      </c>
      <c r="B262" s="5" t="s">
        <v>1321</v>
      </c>
      <c r="C262" s="9" t="s">
        <v>1322</v>
      </c>
      <c r="D262" s="11" t="s">
        <v>1045</v>
      </c>
      <c r="E262" s="11" t="s">
        <v>1046</v>
      </c>
      <c r="F262" s="11" t="s">
        <v>51</v>
      </c>
      <c r="G262" s="11" t="s">
        <v>295</v>
      </c>
      <c r="H262" s="5" t="s">
        <v>70</v>
      </c>
      <c r="I262" s="5" t="s">
        <v>45</v>
      </c>
      <c r="J262" s="5">
        <v>0</v>
      </c>
      <c r="K262" s="5">
        <v>0</v>
      </c>
      <c r="L262" s="5">
        <v>0</v>
      </c>
      <c r="M262" s="5" t="s">
        <v>38</v>
      </c>
      <c r="N262" s="5">
        <v>0</v>
      </c>
      <c r="O262" s="5">
        <v>0</v>
      </c>
      <c r="P262" s="5">
        <v>0</v>
      </c>
      <c r="Q262" s="5" t="s">
        <v>71</v>
      </c>
      <c r="R262" s="5">
        <v>2</v>
      </c>
      <c r="S262" s="5">
        <v>-1</v>
      </c>
      <c r="T262" s="5">
        <v>0</v>
      </c>
      <c r="U262" s="5"/>
      <c r="V262" s="5"/>
      <c r="W262" s="5"/>
      <c r="X262" s="5"/>
      <c r="Y262" s="6" t="s">
        <v>1323</v>
      </c>
      <c r="Z262" s="12" t="s">
        <v>1319</v>
      </c>
      <c r="AA262" s="5">
        <f>IF(OR(D262="Monster", E262="Basic"), 0, ROUND((MIN(IFERROR(VLOOKUP(G262, Relic_Price_Config!$A$5:$E$9, 4, FALSE), 350), MAX(IFERROR(VLOOKUP(G262, Relic_Price_Config!$A$5:$E$9, 3, FALSE), 210), ROUND((IFERROR(VLOOKUP(H262, Relic_Price_Config!$G$5:$N$100, 4, FALSE), 280) + N(L262) * IF(N(O262)&gt;1, N(O262), 1) * IFERROR(VLOOKUP(H262, Relic_Price_Config!$G$5:$N$100, 5, FALSE), 10) + ABS(N(R262)) * IFERROR(VLOOKUP(H262, Relic_Price_Config!$G$5:$N$100, 6, FALSE), 15) + IF(N(S262)&gt;1, (N(S262)-1)*10, 0)) * IFERROR(VLOOKUP(G262, Relic_Price_Config!$A$5:$E$9, 2, FALSE), 1), 0))) * 0.1) / 5, 0) * 5)</f>
        <v>0</v>
      </c>
      <c r="AB262" s="5">
        <f t="shared" si="4"/>
        <v>0</v>
      </c>
    </row>
    <row r="263" spans="1:28" ht="24" customHeight="1">
      <c r="A263" s="5" t="s">
        <v>1324</v>
      </c>
      <c r="B263" s="5" t="s">
        <v>1325</v>
      </c>
      <c r="C263" s="6" t="s">
        <v>1326</v>
      </c>
      <c r="D263" s="11" t="s">
        <v>1045</v>
      </c>
      <c r="E263" s="11" t="s">
        <v>1046</v>
      </c>
      <c r="F263" s="11" t="s">
        <v>51</v>
      </c>
      <c r="G263" s="11" t="s">
        <v>295</v>
      </c>
      <c r="H263" s="5" t="s">
        <v>1327</v>
      </c>
      <c r="I263" s="5" t="s">
        <v>45</v>
      </c>
      <c r="J263" s="5">
        <v>0</v>
      </c>
      <c r="K263" s="5">
        <v>0</v>
      </c>
      <c r="L263" s="5">
        <v>0</v>
      </c>
      <c r="M263" s="5" t="s">
        <v>38</v>
      </c>
      <c r="N263" s="5">
        <v>0</v>
      </c>
      <c r="O263" s="5">
        <v>0</v>
      </c>
      <c r="P263" s="5">
        <v>0</v>
      </c>
      <c r="Q263" s="5" t="s">
        <v>316</v>
      </c>
      <c r="R263" s="5">
        <v>2</v>
      </c>
      <c r="S263" s="5">
        <v>2</v>
      </c>
      <c r="T263" s="5">
        <v>0</v>
      </c>
      <c r="U263" s="5"/>
      <c r="V263" s="5"/>
      <c r="W263" s="5"/>
      <c r="X263" s="5"/>
      <c r="Y263" s="9" t="s">
        <v>1328</v>
      </c>
      <c r="Z263" s="12" t="s">
        <v>1329</v>
      </c>
      <c r="AA263" s="5">
        <f>IF(OR(D263="Monster", E263="Basic"), 0, ROUND((MIN(IFERROR(VLOOKUP(G263, Relic_Price_Config!$A$5:$E$9, 4, FALSE), 350), MAX(IFERROR(VLOOKUP(G263, Relic_Price_Config!$A$5:$E$9, 3, FALSE), 210), ROUND((IFERROR(VLOOKUP(H263, Relic_Price_Config!$G$5:$N$100, 4, FALSE), 280) + N(L263) * IF(N(O263)&gt;1, N(O263), 1) * IFERROR(VLOOKUP(H263, Relic_Price_Config!$G$5:$N$100, 5, FALSE), 10) + ABS(N(R263)) * IFERROR(VLOOKUP(H263, Relic_Price_Config!$G$5:$N$100, 6, FALSE), 15) + IF(N(S263)&gt;1, (N(S263)-1)*10, 0)) * IFERROR(VLOOKUP(G263, Relic_Price_Config!$A$5:$E$9, 2, FALSE), 1), 0))) * 0.1) / 5, 0) * 5)</f>
        <v>0</v>
      </c>
      <c r="AB263" s="5">
        <f t="shared" si="4"/>
        <v>0</v>
      </c>
    </row>
    <row r="264" spans="1:28" ht="24" customHeight="1">
      <c r="A264" s="5" t="s">
        <v>1330</v>
      </c>
      <c r="B264" s="5" t="s">
        <v>1331</v>
      </c>
      <c r="C264" s="6" t="s">
        <v>1332</v>
      </c>
      <c r="D264" s="11" t="s">
        <v>1045</v>
      </c>
      <c r="E264" s="11" t="s">
        <v>1046</v>
      </c>
      <c r="F264" s="11" t="s">
        <v>33</v>
      </c>
      <c r="G264" s="11" t="s">
        <v>295</v>
      </c>
      <c r="H264" s="5" t="s">
        <v>412</v>
      </c>
      <c r="I264" s="5" t="s">
        <v>108</v>
      </c>
      <c r="J264" s="5">
        <v>0</v>
      </c>
      <c r="K264" s="5">
        <v>0</v>
      </c>
      <c r="L264" s="5">
        <v>12</v>
      </c>
      <c r="M264" s="5" t="s">
        <v>37</v>
      </c>
      <c r="N264" s="5">
        <v>1</v>
      </c>
      <c r="O264" s="5">
        <v>1</v>
      </c>
      <c r="P264" s="5">
        <v>0</v>
      </c>
      <c r="Q264" s="5" t="s">
        <v>413</v>
      </c>
      <c r="R264" s="5">
        <v>1</v>
      </c>
      <c r="S264" s="5">
        <v>1</v>
      </c>
      <c r="T264" s="5">
        <v>0</v>
      </c>
      <c r="U264" s="5"/>
      <c r="V264" s="5"/>
      <c r="W264" s="5"/>
      <c r="X264" s="5"/>
      <c r="Y264" s="6" t="s">
        <v>1333</v>
      </c>
      <c r="Z264" s="12" t="s">
        <v>1334</v>
      </c>
      <c r="AA264" s="5">
        <f>IF(OR(D264="Monster", E264="Basic"), 0, ROUND((MIN(IFERROR(VLOOKUP(G264, Relic_Price_Config!$A$5:$E$9, 4, FALSE), 350), MAX(IFERROR(VLOOKUP(G264, Relic_Price_Config!$A$5:$E$9, 3, FALSE), 210), ROUND((IFERROR(VLOOKUP(H264, Relic_Price_Config!$G$5:$N$100, 4, FALSE), 280) + N(L264) * IF(N(O264)&gt;1, N(O264), 1) * IFERROR(VLOOKUP(H264, Relic_Price_Config!$G$5:$N$100, 5, FALSE), 10) + ABS(N(R264)) * IFERROR(VLOOKUP(H264, Relic_Price_Config!$G$5:$N$100, 6, FALSE), 15) + IF(N(S264)&gt;1, (N(S264)-1)*10, 0)) * IFERROR(VLOOKUP(G264, Relic_Price_Config!$A$5:$E$9, 2, FALSE), 1), 0))) * 0.1) / 5, 0) * 5)</f>
        <v>0</v>
      </c>
      <c r="AB264" s="5">
        <f t="shared" si="4"/>
        <v>0</v>
      </c>
    </row>
    <row r="265" spans="1:28" ht="24" customHeight="1">
      <c r="A265" s="5" t="s">
        <v>1335</v>
      </c>
      <c r="B265" s="5" t="s">
        <v>1336</v>
      </c>
      <c r="C265" s="6" t="s">
        <v>1337</v>
      </c>
      <c r="D265" s="11" t="s">
        <v>1045</v>
      </c>
      <c r="E265" s="11" t="s">
        <v>1046</v>
      </c>
      <c r="F265" s="11" t="s">
        <v>51</v>
      </c>
      <c r="G265" s="11" t="s">
        <v>295</v>
      </c>
      <c r="H265" s="5" t="s">
        <v>1338</v>
      </c>
      <c r="I265" s="5" t="s">
        <v>45</v>
      </c>
      <c r="J265" s="5">
        <v>0</v>
      </c>
      <c r="K265" s="5">
        <v>0</v>
      </c>
      <c r="L265" s="5">
        <v>0</v>
      </c>
      <c r="M265" s="5" t="s">
        <v>38</v>
      </c>
      <c r="N265" s="5">
        <v>0</v>
      </c>
      <c r="O265" s="5">
        <v>0</v>
      </c>
      <c r="P265" s="5">
        <v>0</v>
      </c>
      <c r="Q265" s="5" t="s">
        <v>1011</v>
      </c>
      <c r="R265" s="5">
        <v>1</v>
      </c>
      <c r="S265" s="5">
        <v>1</v>
      </c>
      <c r="T265" s="5">
        <v>0</v>
      </c>
      <c r="U265" s="5"/>
      <c r="V265" s="5"/>
      <c r="W265" s="5"/>
      <c r="X265" s="5"/>
      <c r="Y265" s="6" t="s">
        <v>1339</v>
      </c>
      <c r="Z265" s="12" t="s">
        <v>1334</v>
      </c>
      <c r="AA265" s="5">
        <f>IF(OR(D265="Monster", E265="Basic"), 0, ROUND((MIN(IFERROR(VLOOKUP(G265, Relic_Price_Config!$A$5:$E$9, 4, FALSE), 350), MAX(IFERROR(VLOOKUP(G265, Relic_Price_Config!$A$5:$E$9, 3, FALSE), 210), ROUND((IFERROR(VLOOKUP(H265, Relic_Price_Config!$G$5:$N$100, 4, FALSE), 280) + N(L265) * IF(N(O265)&gt;1, N(O265), 1) * IFERROR(VLOOKUP(H265, Relic_Price_Config!$G$5:$N$100, 5, FALSE), 10) + ABS(N(R265)) * IFERROR(VLOOKUP(H265, Relic_Price_Config!$G$5:$N$100, 6, FALSE), 15) + IF(N(S265)&gt;1, (N(S265)-1)*10, 0)) * IFERROR(VLOOKUP(G265, Relic_Price_Config!$A$5:$E$9, 2, FALSE), 1), 0))) * 0.1) / 5, 0) * 5)</f>
        <v>0</v>
      </c>
      <c r="AB265" s="5">
        <f t="shared" si="4"/>
        <v>0</v>
      </c>
    </row>
    <row r="266" spans="1:28" ht="24" customHeight="1">
      <c r="A266" s="5" t="s">
        <v>1340</v>
      </c>
      <c r="B266" s="5" t="s">
        <v>1341</v>
      </c>
      <c r="C266" s="6" t="s">
        <v>1342</v>
      </c>
      <c r="D266" s="11" t="s">
        <v>1045</v>
      </c>
      <c r="E266" s="11" t="s">
        <v>1046</v>
      </c>
      <c r="F266" s="11" t="s">
        <v>33</v>
      </c>
      <c r="G266" s="11" t="s">
        <v>295</v>
      </c>
      <c r="H266" s="5" t="s">
        <v>899</v>
      </c>
      <c r="I266" s="5" t="s">
        <v>108</v>
      </c>
      <c r="J266" s="5">
        <v>0</v>
      </c>
      <c r="K266" s="5">
        <v>0</v>
      </c>
      <c r="L266" s="5">
        <v>12</v>
      </c>
      <c r="M266" s="5" t="s">
        <v>37</v>
      </c>
      <c r="N266" s="5">
        <v>1</v>
      </c>
      <c r="O266" s="5">
        <v>1</v>
      </c>
      <c r="P266" s="5">
        <v>0</v>
      </c>
      <c r="Q266" s="5" t="s">
        <v>900</v>
      </c>
      <c r="R266" s="5">
        <v>1</v>
      </c>
      <c r="S266" s="5">
        <v>1</v>
      </c>
      <c r="T266" s="5">
        <v>0</v>
      </c>
      <c r="U266" s="5"/>
      <c r="V266" s="5"/>
      <c r="W266" s="5"/>
      <c r="X266" s="5"/>
      <c r="Y266" s="6" t="s">
        <v>1343</v>
      </c>
      <c r="Z266" s="12" t="s">
        <v>1344</v>
      </c>
      <c r="AA266" s="5">
        <f>IF(OR(D266="Monster", E266="Basic"), 0, ROUND((MIN(IFERROR(VLOOKUP(G266, Relic_Price_Config!$A$5:$E$9, 4, FALSE), 350), MAX(IFERROR(VLOOKUP(G266, Relic_Price_Config!$A$5:$E$9, 3, FALSE), 210), ROUND((IFERROR(VLOOKUP(H266, Relic_Price_Config!$G$5:$N$100, 4, FALSE), 280) + N(L266) * IF(N(O266)&gt;1, N(O266), 1) * IFERROR(VLOOKUP(H266, Relic_Price_Config!$G$5:$N$100, 5, FALSE), 10) + ABS(N(R266)) * IFERROR(VLOOKUP(H266, Relic_Price_Config!$G$5:$N$100, 6, FALSE), 15) + IF(N(S266)&gt;1, (N(S266)-1)*10, 0)) * IFERROR(VLOOKUP(G266, Relic_Price_Config!$A$5:$E$9, 2, FALSE), 1), 0))) * 0.1) / 5, 0) * 5)</f>
        <v>0</v>
      </c>
      <c r="AB266" s="5">
        <f t="shared" si="4"/>
        <v>0</v>
      </c>
    </row>
    <row r="267" spans="1:28" ht="27.6" customHeight="1">
      <c r="A267" s="5" t="s">
        <v>1345</v>
      </c>
      <c r="B267" s="5" t="s">
        <v>1346</v>
      </c>
      <c r="C267" s="64" t="s">
        <v>1347</v>
      </c>
      <c r="D267" s="11" t="s">
        <v>1045</v>
      </c>
      <c r="E267" s="11" t="s">
        <v>1046</v>
      </c>
      <c r="F267" s="11" t="s">
        <v>51</v>
      </c>
      <c r="G267" s="11" t="s">
        <v>295</v>
      </c>
      <c r="H267" s="5" t="s">
        <v>1348</v>
      </c>
      <c r="I267" s="5" t="s">
        <v>108</v>
      </c>
      <c r="J267" s="5">
        <v>0</v>
      </c>
      <c r="K267" s="5">
        <v>0</v>
      </c>
      <c r="L267" s="5">
        <v>0</v>
      </c>
      <c r="M267" s="5" t="s">
        <v>38</v>
      </c>
      <c r="N267" s="5">
        <v>0</v>
      </c>
      <c r="O267" s="5">
        <v>0</v>
      </c>
      <c r="P267" s="5">
        <v>0</v>
      </c>
      <c r="Q267" s="5" t="s">
        <v>900</v>
      </c>
      <c r="R267" s="5">
        <v>1</v>
      </c>
      <c r="S267" s="5">
        <v>2</v>
      </c>
      <c r="T267" s="5">
        <v>0</v>
      </c>
      <c r="U267" s="5"/>
      <c r="V267" s="5"/>
      <c r="W267" s="5"/>
      <c r="X267" s="5"/>
      <c r="Y267" s="6" t="s">
        <v>1349</v>
      </c>
      <c r="Z267" s="12" t="s">
        <v>1344</v>
      </c>
      <c r="AA267" s="5">
        <f>IF(OR(D267="Monster", E267="Basic"), 0, ROUND((MIN(IFERROR(VLOOKUP(G267, Relic_Price_Config!$A$5:$E$9, 4, FALSE), 350), MAX(IFERROR(VLOOKUP(G267, Relic_Price_Config!$A$5:$E$9, 3, FALSE), 210), ROUND((IFERROR(VLOOKUP(H267, Relic_Price_Config!$G$5:$N$100, 4, FALSE), 280) + N(L267) * IF(N(O267)&gt;1, N(O267), 1) * IFERROR(VLOOKUP(H267, Relic_Price_Config!$G$5:$N$100, 5, FALSE), 10) + ABS(N(R267)) * IFERROR(VLOOKUP(H267, Relic_Price_Config!$G$5:$N$100, 6, FALSE), 15) + IF(N(S267)&gt;1, (N(S267)-1)*10, 0)) * IFERROR(VLOOKUP(G267, Relic_Price_Config!$A$5:$E$9, 2, FALSE), 1), 0))) * 0.1) / 5, 0) * 5)</f>
        <v>0</v>
      </c>
      <c r="AB267" s="5">
        <f t="shared" si="4"/>
        <v>0</v>
      </c>
    </row>
    <row r="268" spans="1:28" ht="24" customHeight="1">
      <c r="A268" s="5" t="s">
        <v>1350</v>
      </c>
      <c r="B268" s="5" t="s">
        <v>1351</v>
      </c>
      <c r="C268" s="6" t="s">
        <v>1352</v>
      </c>
      <c r="D268" s="11" t="s">
        <v>1045</v>
      </c>
      <c r="E268" s="11" t="s">
        <v>1046</v>
      </c>
      <c r="F268" s="11" t="s">
        <v>33</v>
      </c>
      <c r="G268" s="11" t="s">
        <v>295</v>
      </c>
      <c r="H268" s="5" t="s">
        <v>412</v>
      </c>
      <c r="I268" s="5" t="s">
        <v>108</v>
      </c>
      <c r="J268" s="5">
        <v>0</v>
      </c>
      <c r="K268" s="5">
        <v>0</v>
      </c>
      <c r="L268" s="5">
        <v>12</v>
      </c>
      <c r="M268" s="5" t="s">
        <v>37</v>
      </c>
      <c r="N268" s="5">
        <v>1</v>
      </c>
      <c r="O268" s="5">
        <v>1</v>
      </c>
      <c r="P268" s="5">
        <v>0</v>
      </c>
      <c r="Q268" s="5" t="s">
        <v>413</v>
      </c>
      <c r="R268" s="5">
        <v>1</v>
      </c>
      <c r="S268" s="5">
        <v>2</v>
      </c>
      <c r="T268" s="5">
        <v>0</v>
      </c>
      <c r="U268" s="5"/>
      <c r="V268" s="5"/>
      <c r="W268" s="5"/>
      <c r="X268" s="5"/>
      <c r="Y268" s="6" t="s">
        <v>1353</v>
      </c>
      <c r="Z268" s="12" t="s">
        <v>1354</v>
      </c>
      <c r="AA268" s="5">
        <f>IF(OR(D268="Monster", E268="Basic"), 0, ROUND((MIN(IFERROR(VLOOKUP(G268, Relic_Price_Config!$A$5:$E$9, 4, FALSE), 350), MAX(IFERROR(VLOOKUP(G268, Relic_Price_Config!$A$5:$E$9, 3, FALSE), 210), ROUND((IFERROR(VLOOKUP(H268, Relic_Price_Config!$G$5:$N$100, 4, FALSE), 280) + N(L268) * IF(N(O268)&gt;1, N(O268), 1) * IFERROR(VLOOKUP(H268, Relic_Price_Config!$G$5:$N$100, 5, FALSE), 10) + ABS(N(R268)) * IFERROR(VLOOKUP(H268, Relic_Price_Config!$G$5:$N$100, 6, FALSE), 15) + IF(N(S268)&gt;1, (N(S268)-1)*10, 0)) * IFERROR(VLOOKUP(G268, Relic_Price_Config!$A$5:$E$9, 2, FALSE), 1), 0))) * 0.1) / 5, 0) * 5)</f>
        <v>0</v>
      </c>
      <c r="AB268" s="5">
        <f t="shared" si="4"/>
        <v>0</v>
      </c>
    </row>
    <row r="269" spans="1:28" ht="24" customHeight="1">
      <c r="A269" s="5" t="s">
        <v>1355</v>
      </c>
      <c r="B269" s="5" t="s">
        <v>1356</v>
      </c>
      <c r="C269" s="6" t="s">
        <v>1357</v>
      </c>
      <c r="D269" s="11" t="s">
        <v>1045</v>
      </c>
      <c r="E269" s="11" t="s">
        <v>1046</v>
      </c>
      <c r="F269" s="11" t="s">
        <v>43</v>
      </c>
      <c r="G269" s="11" t="s">
        <v>295</v>
      </c>
      <c r="H269" s="5" t="s">
        <v>678</v>
      </c>
      <c r="I269" s="5" t="s">
        <v>45</v>
      </c>
      <c r="J269" s="5">
        <v>0</v>
      </c>
      <c r="K269" s="5">
        <v>0</v>
      </c>
      <c r="L269" s="5">
        <v>13</v>
      </c>
      <c r="M269" s="5" t="s">
        <v>46</v>
      </c>
      <c r="N269" s="5">
        <v>1</v>
      </c>
      <c r="O269" s="5">
        <v>1</v>
      </c>
      <c r="P269" s="5">
        <v>0</v>
      </c>
      <c r="Q269" s="5" t="s">
        <v>159</v>
      </c>
      <c r="R269" s="5">
        <v>1</v>
      </c>
      <c r="S269" s="5">
        <v>2</v>
      </c>
      <c r="T269" s="5">
        <v>0</v>
      </c>
      <c r="U269" s="5"/>
      <c r="V269" s="5"/>
      <c r="W269" s="5"/>
      <c r="X269" s="5"/>
      <c r="Y269" s="6" t="s">
        <v>1358</v>
      </c>
      <c r="Z269" s="12" t="s">
        <v>1354</v>
      </c>
      <c r="AA269" s="5">
        <f>IF(OR(D269="Monster", E269="Basic"), 0, ROUND((MIN(IFERROR(VLOOKUP(G269, Relic_Price_Config!$A$5:$E$9, 4, FALSE), 350), MAX(IFERROR(VLOOKUP(G269, Relic_Price_Config!$A$5:$E$9, 3, FALSE), 210), ROUND((IFERROR(VLOOKUP(H269, Relic_Price_Config!$G$5:$N$100, 4, FALSE), 280) + N(L269) * IF(N(O269)&gt;1, N(O269), 1) * IFERROR(VLOOKUP(H269, Relic_Price_Config!$G$5:$N$100, 5, FALSE), 10) + ABS(N(R269)) * IFERROR(VLOOKUP(H269, Relic_Price_Config!$G$5:$N$100, 6, FALSE), 15) + IF(N(S269)&gt;1, (N(S269)-1)*10, 0)) * IFERROR(VLOOKUP(G269, Relic_Price_Config!$A$5:$E$9, 2, FALSE), 1), 0))) * 0.1) / 5, 0) * 5)</f>
        <v>0</v>
      </c>
      <c r="AB269" s="5">
        <f t="shared" si="4"/>
        <v>0</v>
      </c>
    </row>
    <row r="270" spans="1:28" ht="24" customHeight="1">
      <c r="A270" s="5" t="s">
        <v>1359</v>
      </c>
      <c r="B270" s="5" t="s">
        <v>1360</v>
      </c>
      <c r="C270" s="6" t="s">
        <v>1361</v>
      </c>
      <c r="D270" s="11" t="s">
        <v>1045</v>
      </c>
      <c r="E270" s="11" t="s">
        <v>1046</v>
      </c>
      <c r="F270" s="11" t="s">
        <v>51</v>
      </c>
      <c r="G270" s="11" t="s">
        <v>295</v>
      </c>
      <c r="H270" s="5" t="s">
        <v>883</v>
      </c>
      <c r="I270" s="5" t="s">
        <v>108</v>
      </c>
      <c r="J270" s="5">
        <v>0</v>
      </c>
      <c r="K270" s="5">
        <v>0</v>
      </c>
      <c r="L270" s="5">
        <v>0</v>
      </c>
      <c r="M270" s="5" t="s">
        <v>38</v>
      </c>
      <c r="N270" s="5">
        <v>0</v>
      </c>
      <c r="O270" s="5">
        <v>0</v>
      </c>
      <c r="P270" s="5">
        <v>0</v>
      </c>
      <c r="Q270" s="5" t="s">
        <v>413</v>
      </c>
      <c r="R270" s="5">
        <v>2</v>
      </c>
      <c r="S270" s="5">
        <v>2</v>
      </c>
      <c r="T270" s="5">
        <v>0</v>
      </c>
      <c r="U270" s="5"/>
      <c r="V270" s="5"/>
      <c r="W270" s="5"/>
      <c r="X270" s="5"/>
      <c r="Y270" s="6" t="s">
        <v>1362</v>
      </c>
      <c r="Z270" s="12" t="s">
        <v>1354</v>
      </c>
      <c r="AA270" s="5">
        <f>IF(OR(D270="Monster", E270="Basic"), 0, ROUND((MIN(IFERROR(VLOOKUP(G270, Relic_Price_Config!$A$5:$E$9, 4, FALSE), 350), MAX(IFERROR(VLOOKUP(G270, Relic_Price_Config!$A$5:$E$9, 3, FALSE), 210), ROUND((IFERROR(VLOOKUP(H270, Relic_Price_Config!$G$5:$N$100, 4, FALSE), 280) + N(L270) * IF(N(O270)&gt;1, N(O270), 1) * IFERROR(VLOOKUP(H270, Relic_Price_Config!$G$5:$N$100, 5, FALSE), 10) + ABS(N(R270)) * IFERROR(VLOOKUP(H270, Relic_Price_Config!$G$5:$N$100, 6, FALSE), 15) + IF(N(S270)&gt;1, (N(S270)-1)*10, 0)) * IFERROR(VLOOKUP(G270, Relic_Price_Config!$A$5:$E$9, 2, FALSE), 1), 0))) * 0.1) / 5, 0) * 5)</f>
        <v>0</v>
      </c>
      <c r="AB270" s="5">
        <f t="shared" si="4"/>
        <v>0</v>
      </c>
    </row>
    <row r="271" spans="1:28" ht="24" customHeight="1">
      <c r="A271" s="5" t="s">
        <v>1363</v>
      </c>
      <c r="B271" s="5" t="s">
        <v>1364</v>
      </c>
      <c r="C271" s="6" t="s">
        <v>1365</v>
      </c>
      <c r="D271" s="11" t="s">
        <v>1045</v>
      </c>
      <c r="E271" s="11" t="s">
        <v>1046</v>
      </c>
      <c r="F271" s="11" t="s">
        <v>33</v>
      </c>
      <c r="G271" s="11" t="s">
        <v>295</v>
      </c>
      <c r="H271" s="5" t="s">
        <v>362</v>
      </c>
      <c r="I271" s="5" t="s">
        <v>108</v>
      </c>
      <c r="J271" s="5">
        <v>0</v>
      </c>
      <c r="K271" s="5">
        <v>0</v>
      </c>
      <c r="L271" s="5">
        <v>17</v>
      </c>
      <c r="M271" s="5" t="s">
        <v>37</v>
      </c>
      <c r="N271" s="5">
        <v>1</v>
      </c>
      <c r="O271" s="5">
        <v>1</v>
      </c>
      <c r="P271" s="5">
        <v>0</v>
      </c>
      <c r="Q271" s="5" t="s">
        <v>180</v>
      </c>
      <c r="R271" s="5">
        <v>3</v>
      </c>
      <c r="S271" s="5">
        <v>2</v>
      </c>
      <c r="T271" s="5">
        <v>0</v>
      </c>
      <c r="U271" s="5"/>
      <c r="V271" s="5"/>
      <c r="W271" s="5"/>
      <c r="X271" s="5"/>
      <c r="Y271" s="6" t="s">
        <v>1366</v>
      </c>
      <c r="Z271" s="12" t="s">
        <v>1367</v>
      </c>
      <c r="AA271" s="5">
        <f>IF(OR(D271="Monster", E271="Basic"), 0, ROUND((MIN(IFERROR(VLOOKUP(G271, Relic_Price_Config!$A$5:$E$9, 4, FALSE), 350), MAX(IFERROR(VLOOKUP(G271, Relic_Price_Config!$A$5:$E$9, 3, FALSE), 210), ROUND((IFERROR(VLOOKUP(H271, Relic_Price_Config!$G$5:$N$100, 4, FALSE), 280) + N(L271) * IF(N(O271)&gt;1, N(O271), 1) * IFERROR(VLOOKUP(H271, Relic_Price_Config!$G$5:$N$100, 5, FALSE), 10) + ABS(N(R271)) * IFERROR(VLOOKUP(H271, Relic_Price_Config!$G$5:$N$100, 6, FALSE), 15) + IF(N(S271)&gt;1, (N(S271)-1)*10, 0)) * IFERROR(VLOOKUP(G271, Relic_Price_Config!$A$5:$E$9, 2, FALSE), 1), 0))) * 0.1) / 5, 0) * 5)</f>
        <v>0</v>
      </c>
      <c r="AB271" s="5">
        <f t="shared" si="4"/>
        <v>0</v>
      </c>
    </row>
    <row r="272" spans="1:28" ht="24" customHeight="1">
      <c r="A272" s="5" t="s">
        <v>1368</v>
      </c>
      <c r="B272" s="5" t="s">
        <v>1369</v>
      </c>
      <c r="C272" s="9" t="s">
        <v>1370</v>
      </c>
      <c r="D272" s="11" t="s">
        <v>1045</v>
      </c>
      <c r="E272" s="11" t="s">
        <v>1046</v>
      </c>
      <c r="F272" s="11" t="s">
        <v>51</v>
      </c>
      <c r="G272" s="11" t="s">
        <v>295</v>
      </c>
      <c r="H272" s="5" t="s">
        <v>1371</v>
      </c>
      <c r="I272" s="5" t="s">
        <v>108</v>
      </c>
      <c r="J272" s="5">
        <v>0</v>
      </c>
      <c r="K272" s="5">
        <v>0</v>
      </c>
      <c r="L272" s="5">
        <v>0</v>
      </c>
      <c r="M272" s="5" t="s">
        <v>38</v>
      </c>
      <c r="N272" s="5">
        <v>0</v>
      </c>
      <c r="O272" s="5">
        <v>0</v>
      </c>
      <c r="P272" s="5">
        <v>0</v>
      </c>
      <c r="Q272" s="5" t="s">
        <v>180</v>
      </c>
      <c r="R272" s="5">
        <v>5</v>
      </c>
      <c r="S272" s="5">
        <v>2</v>
      </c>
      <c r="T272" s="5">
        <v>0</v>
      </c>
      <c r="U272" s="5"/>
      <c r="V272" s="5"/>
      <c r="W272" s="5"/>
      <c r="X272" s="5"/>
      <c r="Y272" s="6" t="s">
        <v>1372</v>
      </c>
      <c r="Z272" s="12" t="s">
        <v>1367</v>
      </c>
      <c r="AA272" s="5">
        <f>IF(OR(D272="Monster", E272="Basic"), 0, ROUND((MIN(IFERROR(VLOOKUP(G272, Relic_Price_Config!$A$5:$E$9, 4, FALSE), 350), MAX(IFERROR(VLOOKUP(G272, Relic_Price_Config!$A$5:$E$9, 3, FALSE), 210), ROUND((IFERROR(VLOOKUP(H272, Relic_Price_Config!$G$5:$N$100, 4, FALSE), 280) + N(L272) * IF(N(O272)&gt;1, N(O272), 1) * IFERROR(VLOOKUP(H272, Relic_Price_Config!$G$5:$N$100, 5, FALSE), 10) + ABS(N(R272)) * IFERROR(VLOOKUP(H272, Relic_Price_Config!$G$5:$N$100, 6, FALSE), 15) + IF(N(S272)&gt;1, (N(S272)-1)*10, 0)) * IFERROR(VLOOKUP(G272, Relic_Price_Config!$A$5:$E$9, 2, FALSE), 1), 0))) * 0.1) / 5, 0) * 5)</f>
        <v>0</v>
      </c>
      <c r="AB272" s="5">
        <f t="shared" si="4"/>
        <v>0</v>
      </c>
    </row>
    <row r="273" spans="1:28" ht="24" customHeight="1">
      <c r="A273" s="5" t="s">
        <v>1373</v>
      </c>
      <c r="B273" s="5" t="s">
        <v>1374</v>
      </c>
      <c r="C273" s="6" t="s">
        <v>1375</v>
      </c>
      <c r="D273" s="11" t="s">
        <v>1045</v>
      </c>
      <c r="E273" s="11" t="s">
        <v>1046</v>
      </c>
      <c r="F273" s="11" t="s">
        <v>33</v>
      </c>
      <c r="G273" s="11" t="s">
        <v>295</v>
      </c>
      <c r="H273" s="5" t="s">
        <v>1376</v>
      </c>
      <c r="I273" s="5" t="s">
        <v>108</v>
      </c>
      <c r="J273" s="5">
        <v>0</v>
      </c>
      <c r="K273" s="5">
        <v>0</v>
      </c>
      <c r="L273" s="5">
        <v>17</v>
      </c>
      <c r="M273" s="5" t="s">
        <v>37</v>
      </c>
      <c r="N273" s="5">
        <v>1</v>
      </c>
      <c r="O273" s="5">
        <v>1</v>
      </c>
      <c r="P273" s="5">
        <v>0</v>
      </c>
      <c r="Q273" s="5" t="s">
        <v>1377</v>
      </c>
      <c r="R273" s="5">
        <v>2</v>
      </c>
      <c r="S273" s="5">
        <v>2</v>
      </c>
      <c r="T273" s="5">
        <v>0</v>
      </c>
      <c r="U273" s="5"/>
      <c r="V273" s="5"/>
      <c r="W273" s="5"/>
      <c r="X273" s="5"/>
      <c r="Y273" s="6" t="s">
        <v>1378</v>
      </c>
      <c r="Z273" s="12" t="s">
        <v>1379</v>
      </c>
      <c r="AA273" s="5">
        <f>IF(OR(D273="Monster", E273="Basic"), 0, ROUND((MIN(IFERROR(VLOOKUP(G273, Relic_Price_Config!$A$5:$E$9, 4, FALSE), 350), MAX(IFERROR(VLOOKUP(G273, Relic_Price_Config!$A$5:$E$9, 3, FALSE), 210), ROUND((IFERROR(VLOOKUP(H273, Relic_Price_Config!$G$5:$N$100, 4, FALSE), 280) + N(L273) * IF(N(O273)&gt;1, N(O273), 1) * IFERROR(VLOOKUP(H273, Relic_Price_Config!$G$5:$N$100, 5, FALSE), 10) + ABS(N(R273)) * IFERROR(VLOOKUP(H273, Relic_Price_Config!$G$5:$N$100, 6, FALSE), 15) + IF(N(S273)&gt;1, (N(S273)-1)*10, 0)) * IFERROR(VLOOKUP(G273, Relic_Price_Config!$A$5:$E$9, 2, FALSE), 1), 0))) * 0.1) / 5, 0) * 5)</f>
        <v>0</v>
      </c>
      <c r="AB273" s="5">
        <f t="shared" si="4"/>
        <v>0</v>
      </c>
    </row>
    <row r="274" spans="1:28" ht="24" customHeight="1">
      <c r="A274" s="5" t="s">
        <v>1380</v>
      </c>
      <c r="B274" s="5" t="s">
        <v>1381</v>
      </c>
      <c r="C274" s="9" t="s">
        <v>1382</v>
      </c>
      <c r="D274" s="11" t="s">
        <v>1045</v>
      </c>
      <c r="E274" s="11" t="s">
        <v>1046</v>
      </c>
      <c r="F274" s="11" t="s">
        <v>51</v>
      </c>
      <c r="G274" s="11" t="s">
        <v>295</v>
      </c>
      <c r="H274" s="5" t="s">
        <v>1383</v>
      </c>
      <c r="I274" s="5" t="s">
        <v>108</v>
      </c>
      <c r="J274" s="5">
        <v>0</v>
      </c>
      <c r="K274" s="5">
        <v>0</v>
      </c>
      <c r="L274" s="5">
        <v>0</v>
      </c>
      <c r="M274" s="5" t="s">
        <v>38</v>
      </c>
      <c r="N274" s="5">
        <v>0</v>
      </c>
      <c r="O274" s="5">
        <v>0</v>
      </c>
      <c r="P274" s="5">
        <v>0</v>
      </c>
      <c r="Q274" s="5" t="s">
        <v>1377</v>
      </c>
      <c r="R274" s="5">
        <v>3</v>
      </c>
      <c r="S274" s="5">
        <v>2</v>
      </c>
      <c r="T274" s="5">
        <v>0</v>
      </c>
      <c r="U274" s="5"/>
      <c r="V274" s="5"/>
      <c r="W274" s="5"/>
      <c r="X274" s="5"/>
      <c r="Y274" s="6" t="s">
        <v>1384</v>
      </c>
      <c r="Z274" s="12" t="s">
        <v>1379</v>
      </c>
      <c r="AA274" s="5">
        <f>IF(OR(D274="Monster", E274="Basic"), 0, ROUND((MIN(IFERROR(VLOOKUP(G274, Relic_Price_Config!$A$5:$E$9, 4, FALSE), 350), MAX(IFERROR(VLOOKUP(G274, Relic_Price_Config!$A$5:$E$9, 3, FALSE), 210), ROUND((IFERROR(VLOOKUP(H274, Relic_Price_Config!$G$5:$N$100, 4, FALSE), 280) + N(L274) * IF(N(O274)&gt;1, N(O274), 1) * IFERROR(VLOOKUP(H274, Relic_Price_Config!$G$5:$N$100, 5, FALSE), 10) + ABS(N(R274)) * IFERROR(VLOOKUP(H274, Relic_Price_Config!$G$5:$N$100, 6, FALSE), 15) + IF(N(S274)&gt;1, (N(S274)-1)*10, 0)) * IFERROR(VLOOKUP(G274, Relic_Price_Config!$A$5:$E$9, 2, FALSE), 1), 0))) * 0.1) / 5, 0) * 5)</f>
        <v>0</v>
      </c>
      <c r="AB274" s="5">
        <f t="shared" si="4"/>
        <v>0</v>
      </c>
    </row>
    <row r="275" spans="1:28" ht="24" customHeight="1">
      <c r="A275" s="5" t="s">
        <v>1385</v>
      </c>
      <c r="B275" s="5" t="s">
        <v>1386</v>
      </c>
      <c r="C275" s="6" t="s">
        <v>1387</v>
      </c>
      <c r="D275" s="11" t="s">
        <v>1045</v>
      </c>
      <c r="E275" s="11" t="s">
        <v>1046</v>
      </c>
      <c r="F275" s="11" t="s">
        <v>33</v>
      </c>
      <c r="G275" s="11" t="s">
        <v>295</v>
      </c>
      <c r="H275" s="5" t="s">
        <v>1388</v>
      </c>
      <c r="I275" s="5" t="s">
        <v>108</v>
      </c>
      <c r="J275" s="5">
        <v>0</v>
      </c>
      <c r="K275" s="5">
        <v>0</v>
      </c>
      <c r="L275" s="5">
        <v>19</v>
      </c>
      <c r="M275" s="5" t="s">
        <v>37</v>
      </c>
      <c r="N275" s="5">
        <v>1</v>
      </c>
      <c r="O275" s="5">
        <v>1</v>
      </c>
      <c r="P275" s="5">
        <v>0</v>
      </c>
      <c r="Q275" s="5" t="s">
        <v>1389</v>
      </c>
      <c r="R275" s="5">
        <v>1</v>
      </c>
      <c r="S275" s="5">
        <v>1</v>
      </c>
      <c r="T275" s="5">
        <v>0</v>
      </c>
      <c r="U275" s="5"/>
      <c r="V275" s="5"/>
      <c r="W275" s="5"/>
      <c r="X275" s="5"/>
      <c r="Y275" s="6" t="s">
        <v>1390</v>
      </c>
      <c r="Z275" s="12" t="s">
        <v>1391</v>
      </c>
      <c r="AA275" s="5">
        <f>IF(OR(D275="Monster", E275="Basic"), 0, ROUND((MIN(IFERROR(VLOOKUP(G275, Relic_Price_Config!$A$5:$E$9, 4, FALSE), 350), MAX(IFERROR(VLOOKUP(G275, Relic_Price_Config!$A$5:$E$9, 3, FALSE), 210), ROUND((IFERROR(VLOOKUP(H275, Relic_Price_Config!$G$5:$N$100, 4, FALSE), 280) + N(L275) * IF(N(O275)&gt;1, N(O275), 1) * IFERROR(VLOOKUP(H275, Relic_Price_Config!$G$5:$N$100, 5, FALSE), 10) + ABS(N(R275)) * IFERROR(VLOOKUP(H275, Relic_Price_Config!$G$5:$N$100, 6, FALSE), 15) + IF(N(S275)&gt;1, (N(S275)-1)*10, 0)) * IFERROR(VLOOKUP(G275, Relic_Price_Config!$A$5:$E$9, 2, FALSE), 1), 0))) * 0.1) / 5, 0) * 5)</f>
        <v>0</v>
      </c>
      <c r="AB275" s="5">
        <f t="shared" si="4"/>
        <v>0</v>
      </c>
    </row>
    <row r="276" spans="1:28" ht="24" customHeight="1">
      <c r="A276" s="5" t="s">
        <v>1392</v>
      </c>
      <c r="B276" s="5" t="s">
        <v>1393</v>
      </c>
      <c r="C276" s="6" t="s">
        <v>1394</v>
      </c>
      <c r="D276" s="11" t="s">
        <v>1045</v>
      </c>
      <c r="E276" s="11" t="s">
        <v>1046</v>
      </c>
      <c r="F276" s="11" t="s">
        <v>43</v>
      </c>
      <c r="G276" s="11" t="s">
        <v>295</v>
      </c>
      <c r="H276" s="5" t="s">
        <v>214</v>
      </c>
      <c r="I276" s="5" t="s">
        <v>45</v>
      </c>
      <c r="J276" s="5">
        <v>0</v>
      </c>
      <c r="K276" s="5">
        <v>0</v>
      </c>
      <c r="L276" s="5">
        <v>16</v>
      </c>
      <c r="M276" s="5" t="s">
        <v>46</v>
      </c>
      <c r="N276" s="5">
        <v>1</v>
      </c>
      <c r="O276" s="5">
        <v>1</v>
      </c>
      <c r="P276" s="5">
        <v>0</v>
      </c>
      <c r="Q276" s="5" t="s">
        <v>101</v>
      </c>
      <c r="R276" s="5">
        <v>2</v>
      </c>
      <c r="S276" s="5">
        <v>1</v>
      </c>
      <c r="T276" s="5">
        <v>0</v>
      </c>
      <c r="U276" s="5"/>
      <c r="V276" s="5"/>
      <c r="W276" s="5"/>
      <c r="X276" s="5"/>
      <c r="Y276" s="6" t="s">
        <v>1395</v>
      </c>
      <c r="Z276" s="12" t="s">
        <v>1391</v>
      </c>
      <c r="AA276" s="5">
        <f>IF(OR(D276="Monster", E276="Basic"), 0, ROUND((MIN(IFERROR(VLOOKUP(G276, Relic_Price_Config!$A$5:$E$9, 4, FALSE), 350), MAX(IFERROR(VLOOKUP(G276, Relic_Price_Config!$A$5:$E$9, 3, FALSE), 210), ROUND((IFERROR(VLOOKUP(H276, Relic_Price_Config!$G$5:$N$100, 4, FALSE), 280) + N(L276) * IF(N(O276)&gt;1, N(O276), 1) * IFERROR(VLOOKUP(H276, Relic_Price_Config!$G$5:$N$100, 5, FALSE), 10) + ABS(N(R276)) * IFERROR(VLOOKUP(H276, Relic_Price_Config!$G$5:$N$100, 6, FALSE), 15) + IF(N(S276)&gt;1, (N(S276)-1)*10, 0)) * IFERROR(VLOOKUP(G276, Relic_Price_Config!$A$5:$E$9, 2, FALSE), 1), 0))) * 0.1) / 5, 0) * 5)</f>
        <v>0</v>
      </c>
      <c r="AB276" s="5">
        <f t="shared" si="4"/>
        <v>0</v>
      </c>
    </row>
    <row r="277" spans="1:28" ht="24" customHeight="1">
      <c r="A277" s="5" t="s">
        <v>1396</v>
      </c>
      <c r="B277" s="5" t="s">
        <v>1397</v>
      </c>
      <c r="C277" s="6" t="s">
        <v>1398</v>
      </c>
      <c r="D277" s="11" t="s">
        <v>1045</v>
      </c>
      <c r="E277" s="11" t="s">
        <v>1046</v>
      </c>
      <c r="F277" s="11" t="s">
        <v>51</v>
      </c>
      <c r="G277" s="11" t="s">
        <v>295</v>
      </c>
      <c r="H277" s="5" t="s">
        <v>1399</v>
      </c>
      <c r="I277" s="5" t="s">
        <v>108</v>
      </c>
      <c r="J277" s="5">
        <v>0</v>
      </c>
      <c r="K277" s="5">
        <v>0</v>
      </c>
      <c r="L277" s="5">
        <v>0</v>
      </c>
      <c r="M277" s="5" t="s">
        <v>38</v>
      </c>
      <c r="N277" s="5">
        <v>0</v>
      </c>
      <c r="O277" s="5">
        <v>0</v>
      </c>
      <c r="P277" s="5">
        <v>0</v>
      </c>
      <c r="Q277" s="5" t="s">
        <v>1389</v>
      </c>
      <c r="R277" s="5">
        <v>1</v>
      </c>
      <c r="S277" s="5">
        <v>2</v>
      </c>
      <c r="T277" s="5">
        <v>0</v>
      </c>
      <c r="U277" s="5"/>
      <c r="V277" s="5"/>
      <c r="W277" s="5"/>
      <c r="X277" s="5"/>
      <c r="Y277" s="6" t="s">
        <v>1400</v>
      </c>
      <c r="Z277" s="12" t="s">
        <v>1391</v>
      </c>
      <c r="AA277" s="5">
        <f>IF(OR(D277="Monster", E277="Basic"), 0, ROUND((MIN(IFERROR(VLOOKUP(G277, Relic_Price_Config!$A$5:$E$9, 4, FALSE), 350), MAX(IFERROR(VLOOKUP(G277, Relic_Price_Config!$A$5:$E$9, 3, FALSE), 210), ROUND((IFERROR(VLOOKUP(H277, Relic_Price_Config!$G$5:$N$100, 4, FALSE), 280) + N(L277) * IF(N(O277)&gt;1, N(O277), 1) * IFERROR(VLOOKUP(H277, Relic_Price_Config!$G$5:$N$100, 5, FALSE), 10) + ABS(N(R277)) * IFERROR(VLOOKUP(H277, Relic_Price_Config!$G$5:$N$100, 6, FALSE), 15) + IF(N(S277)&gt;1, (N(S277)-1)*10, 0)) * IFERROR(VLOOKUP(G277, Relic_Price_Config!$A$5:$E$9, 2, FALSE), 1), 0))) * 0.1) / 5, 0) * 5)</f>
        <v>0</v>
      </c>
      <c r="AB277" s="5">
        <f t="shared" si="4"/>
        <v>0</v>
      </c>
    </row>
    <row r="278" spans="1:28" ht="24" customHeight="1">
      <c r="A278" s="5" t="s">
        <v>1401</v>
      </c>
      <c r="B278" s="5" t="s">
        <v>1402</v>
      </c>
      <c r="C278" s="6" t="s">
        <v>1403</v>
      </c>
      <c r="D278" s="11" t="s">
        <v>1045</v>
      </c>
      <c r="E278" s="11" t="s">
        <v>1046</v>
      </c>
      <c r="F278" s="11" t="s">
        <v>33</v>
      </c>
      <c r="G278" s="11" t="s">
        <v>295</v>
      </c>
      <c r="H278" s="5" t="s">
        <v>309</v>
      </c>
      <c r="I278" s="5" t="s">
        <v>108</v>
      </c>
      <c r="J278" s="5">
        <v>0</v>
      </c>
      <c r="K278" s="5">
        <v>0</v>
      </c>
      <c r="L278" s="5">
        <v>20</v>
      </c>
      <c r="M278" s="5" t="s">
        <v>37</v>
      </c>
      <c r="N278" s="5">
        <v>1</v>
      </c>
      <c r="O278" s="5">
        <v>1</v>
      </c>
      <c r="P278" s="5">
        <v>0</v>
      </c>
      <c r="Q278" s="5" t="s">
        <v>130</v>
      </c>
      <c r="R278" s="5">
        <v>2</v>
      </c>
      <c r="S278" s="5">
        <v>2</v>
      </c>
      <c r="T278" s="5">
        <v>0</v>
      </c>
      <c r="U278" s="5"/>
      <c r="V278" s="5"/>
      <c r="W278" s="5"/>
      <c r="X278" s="5"/>
      <c r="Y278" s="6" t="s">
        <v>1404</v>
      </c>
      <c r="Z278" s="12" t="s">
        <v>1405</v>
      </c>
      <c r="AA278" s="5">
        <f>IF(OR(D278="Monster", E278="Basic"), 0, ROUND((MIN(IFERROR(VLOOKUP(G278, Relic_Price_Config!$A$5:$E$9, 4, FALSE), 350), MAX(IFERROR(VLOOKUP(G278, Relic_Price_Config!$A$5:$E$9, 3, FALSE), 210), ROUND((IFERROR(VLOOKUP(H278, Relic_Price_Config!$G$5:$N$100, 4, FALSE), 280) + N(L278) * IF(N(O278)&gt;1, N(O278), 1) * IFERROR(VLOOKUP(H278, Relic_Price_Config!$G$5:$N$100, 5, FALSE), 10) + ABS(N(R278)) * IFERROR(VLOOKUP(H278, Relic_Price_Config!$G$5:$N$100, 6, FALSE), 15) + IF(N(S278)&gt;1, (N(S278)-1)*10, 0)) * IFERROR(VLOOKUP(G278, Relic_Price_Config!$A$5:$E$9, 2, FALSE), 1), 0))) * 0.1) / 5, 0) * 5)</f>
        <v>0</v>
      </c>
      <c r="AB278" s="5">
        <f t="shared" si="4"/>
        <v>0</v>
      </c>
    </row>
    <row r="279" spans="1:28" ht="27.6" customHeight="1">
      <c r="A279" s="5" t="s">
        <v>1406</v>
      </c>
      <c r="B279" s="5" t="s">
        <v>1407</v>
      </c>
      <c r="C279" s="6" t="s">
        <v>1408</v>
      </c>
      <c r="D279" s="11" t="s">
        <v>1045</v>
      </c>
      <c r="E279" s="11" t="s">
        <v>1046</v>
      </c>
      <c r="F279" s="11" t="s">
        <v>51</v>
      </c>
      <c r="G279" s="11" t="s">
        <v>295</v>
      </c>
      <c r="H279" s="5" t="s">
        <v>1327</v>
      </c>
      <c r="I279" s="5" t="s">
        <v>45</v>
      </c>
      <c r="J279" s="5">
        <v>0</v>
      </c>
      <c r="K279" s="5">
        <v>0</v>
      </c>
      <c r="L279" s="5">
        <v>0</v>
      </c>
      <c r="M279" s="5" t="s">
        <v>38</v>
      </c>
      <c r="N279" s="5">
        <v>0</v>
      </c>
      <c r="O279" s="5">
        <v>0</v>
      </c>
      <c r="P279" s="5">
        <v>0</v>
      </c>
      <c r="Q279" s="5" t="s">
        <v>316</v>
      </c>
      <c r="R279" s="5">
        <v>3</v>
      </c>
      <c r="S279" s="5">
        <v>2</v>
      </c>
      <c r="T279" s="5">
        <v>0</v>
      </c>
      <c r="U279" s="5"/>
      <c r="V279" s="5"/>
      <c r="W279" s="5"/>
      <c r="X279" s="5"/>
      <c r="Y279" s="9" t="s">
        <v>1409</v>
      </c>
      <c r="Z279" s="12" t="s">
        <v>1405</v>
      </c>
      <c r="AA279" s="5">
        <f>IF(OR(D279="Monster", E279="Basic"), 0, ROUND((MIN(IFERROR(VLOOKUP(G279, Relic_Price_Config!$A$5:$E$9, 4, FALSE), 350), MAX(IFERROR(VLOOKUP(G279, Relic_Price_Config!$A$5:$E$9, 3, FALSE), 210), ROUND((IFERROR(VLOOKUP(H279, Relic_Price_Config!$G$5:$N$100, 4, FALSE), 280) + N(L279) * IF(N(O279)&gt;1, N(O279), 1) * IFERROR(VLOOKUP(H279, Relic_Price_Config!$G$5:$N$100, 5, FALSE), 10) + ABS(N(R279)) * IFERROR(VLOOKUP(H279, Relic_Price_Config!$G$5:$N$100, 6, FALSE), 15) + IF(N(S279)&gt;1, (N(S279)-1)*10, 0)) * IFERROR(VLOOKUP(G279, Relic_Price_Config!$A$5:$E$9, 2, FALSE), 1), 0))) * 0.1) / 5, 0) * 5)</f>
        <v>0</v>
      </c>
      <c r="AB279" s="5">
        <f t="shared" si="4"/>
        <v>0</v>
      </c>
    </row>
    <row r="280" spans="1:28" ht="24" customHeight="1">
      <c r="A280" s="5" t="s">
        <v>1410</v>
      </c>
      <c r="B280" s="5" t="s">
        <v>1411</v>
      </c>
      <c r="C280" s="6" t="s">
        <v>1412</v>
      </c>
      <c r="D280" s="11" t="s">
        <v>1045</v>
      </c>
      <c r="E280" s="11" t="s">
        <v>1046</v>
      </c>
      <c r="F280" s="11" t="s">
        <v>33</v>
      </c>
      <c r="G280" s="11" t="s">
        <v>295</v>
      </c>
      <c r="H280" s="5" t="s">
        <v>309</v>
      </c>
      <c r="I280" s="5" t="s">
        <v>108</v>
      </c>
      <c r="J280" s="5">
        <v>0</v>
      </c>
      <c r="K280" s="5">
        <v>0</v>
      </c>
      <c r="L280" s="5">
        <v>26</v>
      </c>
      <c r="M280" s="5" t="s">
        <v>37</v>
      </c>
      <c r="N280" s="5">
        <v>1</v>
      </c>
      <c r="O280" s="5">
        <v>1</v>
      </c>
      <c r="P280" s="5">
        <v>0</v>
      </c>
      <c r="Q280" s="5" t="s">
        <v>130</v>
      </c>
      <c r="R280" s="5">
        <v>2</v>
      </c>
      <c r="S280" s="5">
        <v>2</v>
      </c>
      <c r="T280" s="5">
        <v>0</v>
      </c>
      <c r="U280" s="5"/>
      <c r="V280" s="5"/>
      <c r="W280" s="5"/>
      <c r="X280" s="5"/>
      <c r="Y280" s="6" t="s">
        <v>1413</v>
      </c>
      <c r="Z280" s="12" t="s">
        <v>1414</v>
      </c>
      <c r="AA280" s="5">
        <f>IF(OR(D280="Monster", E280="Basic"), 0, ROUND((MIN(IFERROR(VLOOKUP(G280, Relic_Price_Config!$A$5:$E$9, 4, FALSE), 350), MAX(IFERROR(VLOOKUP(G280, Relic_Price_Config!$A$5:$E$9, 3, FALSE), 210), ROUND((IFERROR(VLOOKUP(H280, Relic_Price_Config!$G$5:$N$100, 4, FALSE), 280) + N(L280) * IF(N(O280)&gt;1, N(O280), 1) * IFERROR(VLOOKUP(H280, Relic_Price_Config!$G$5:$N$100, 5, FALSE), 10) + ABS(N(R280)) * IFERROR(VLOOKUP(H280, Relic_Price_Config!$G$5:$N$100, 6, FALSE), 15) + IF(N(S280)&gt;1, (N(S280)-1)*10, 0)) * IFERROR(VLOOKUP(G280, Relic_Price_Config!$A$5:$E$9, 2, FALSE), 1), 0))) * 0.1) / 5, 0) * 5)</f>
        <v>0</v>
      </c>
      <c r="AB280" s="5">
        <f t="shared" si="4"/>
        <v>0</v>
      </c>
    </row>
    <row r="281" spans="1:28" ht="24" customHeight="1">
      <c r="A281" s="5" t="s">
        <v>1415</v>
      </c>
      <c r="B281" s="5" t="s">
        <v>1416</v>
      </c>
      <c r="C281" s="6" t="s">
        <v>1417</v>
      </c>
      <c r="D281" s="11" t="s">
        <v>1045</v>
      </c>
      <c r="E281" s="11" t="s">
        <v>1046</v>
      </c>
      <c r="F281" s="11" t="s">
        <v>51</v>
      </c>
      <c r="G281" s="11" t="s">
        <v>295</v>
      </c>
      <c r="H281" s="5" t="s">
        <v>70</v>
      </c>
      <c r="I281" s="5" t="s">
        <v>45</v>
      </c>
      <c r="J281" s="5">
        <v>0</v>
      </c>
      <c r="K281" s="5">
        <v>0</v>
      </c>
      <c r="L281" s="5">
        <v>0</v>
      </c>
      <c r="M281" s="5" t="s">
        <v>38</v>
      </c>
      <c r="N281" s="5">
        <v>0</v>
      </c>
      <c r="O281" s="5">
        <v>0</v>
      </c>
      <c r="P281" s="5">
        <v>0</v>
      </c>
      <c r="Q281" s="5" t="s">
        <v>71</v>
      </c>
      <c r="R281" s="5">
        <v>3</v>
      </c>
      <c r="S281" s="5">
        <v>2</v>
      </c>
      <c r="T281" s="5">
        <v>0</v>
      </c>
      <c r="U281" s="5"/>
      <c r="V281" s="5"/>
      <c r="W281" s="5"/>
      <c r="X281" s="5"/>
      <c r="Y281" s="6" t="s">
        <v>1418</v>
      </c>
      <c r="Z281" s="12" t="s">
        <v>1414</v>
      </c>
      <c r="AA281" s="5">
        <f>IF(OR(D281="Monster", E281="Basic"), 0, ROUND((MIN(IFERROR(VLOOKUP(G281, Relic_Price_Config!$A$5:$E$9, 4, FALSE), 350), MAX(IFERROR(VLOOKUP(G281, Relic_Price_Config!$A$5:$E$9, 3, FALSE), 210), ROUND((IFERROR(VLOOKUP(H281, Relic_Price_Config!$G$5:$N$100, 4, FALSE), 280) + N(L281) * IF(N(O281)&gt;1, N(O281), 1) * IFERROR(VLOOKUP(H281, Relic_Price_Config!$G$5:$N$100, 5, FALSE), 10) + ABS(N(R281)) * IFERROR(VLOOKUP(H281, Relic_Price_Config!$G$5:$N$100, 6, FALSE), 15) + IF(N(S281)&gt;1, (N(S281)-1)*10, 0)) * IFERROR(VLOOKUP(G281, Relic_Price_Config!$A$5:$E$9, 2, FALSE), 1), 0))) * 0.1) / 5, 0) * 5)</f>
        <v>0</v>
      </c>
      <c r="AB281" s="5">
        <f t="shared" si="4"/>
        <v>0</v>
      </c>
    </row>
    <row r="282" spans="1:28" ht="24" customHeight="1">
      <c r="A282" s="5" t="s">
        <v>1419</v>
      </c>
      <c r="B282" s="5" t="s">
        <v>1420</v>
      </c>
      <c r="C282" s="9" t="s">
        <v>1421</v>
      </c>
      <c r="D282" s="11" t="s">
        <v>1045</v>
      </c>
      <c r="E282" s="11" t="s">
        <v>1046</v>
      </c>
      <c r="F282" s="11" t="s">
        <v>33</v>
      </c>
      <c r="G282" s="11" t="s">
        <v>295</v>
      </c>
      <c r="H282" s="5" t="s">
        <v>335</v>
      </c>
      <c r="I282" s="5" t="s">
        <v>108</v>
      </c>
      <c r="J282" s="5">
        <v>0</v>
      </c>
      <c r="K282" s="5">
        <v>0</v>
      </c>
      <c r="L282" s="5">
        <v>20</v>
      </c>
      <c r="M282" s="5" t="s">
        <v>37</v>
      </c>
      <c r="N282" s="5">
        <v>1</v>
      </c>
      <c r="O282" s="5">
        <v>1</v>
      </c>
      <c r="P282" s="5">
        <v>12</v>
      </c>
      <c r="Q282" s="5" t="s">
        <v>38</v>
      </c>
      <c r="R282" s="5">
        <v>0</v>
      </c>
      <c r="S282" s="5">
        <v>0</v>
      </c>
      <c r="T282" s="5">
        <v>0</v>
      </c>
      <c r="U282" s="5"/>
      <c r="V282" s="5"/>
      <c r="W282" s="5"/>
      <c r="X282" s="5"/>
      <c r="Y282" s="6" t="s">
        <v>1422</v>
      </c>
      <c r="Z282" s="12" t="s">
        <v>1423</v>
      </c>
      <c r="AA282" s="5">
        <f>IF(OR(D282="Monster", E282="Basic"), 0, ROUND((MIN(IFERROR(VLOOKUP(G282, Relic_Price_Config!$A$5:$E$9, 4, FALSE), 350), MAX(IFERROR(VLOOKUP(G282, Relic_Price_Config!$A$5:$E$9, 3, FALSE), 210), ROUND((IFERROR(VLOOKUP(H282, Relic_Price_Config!$G$5:$N$100, 4, FALSE), 280) + N(L282) * IF(N(O282)&gt;1, N(O282), 1) * IFERROR(VLOOKUP(H282, Relic_Price_Config!$G$5:$N$100, 5, FALSE), 10) + ABS(N(R282)) * IFERROR(VLOOKUP(H282, Relic_Price_Config!$G$5:$N$100, 6, FALSE), 15) + IF(N(S282)&gt;1, (N(S282)-1)*10, 0)) * IFERROR(VLOOKUP(G282, Relic_Price_Config!$A$5:$E$9, 2, FALSE), 1), 0))) * 0.1) / 5, 0) * 5)</f>
        <v>0</v>
      </c>
      <c r="AB282" s="5">
        <f t="shared" si="4"/>
        <v>0</v>
      </c>
    </row>
    <row r="283" spans="1:28" ht="24" customHeight="1">
      <c r="A283" s="5" t="s">
        <v>1424</v>
      </c>
      <c r="B283" s="5" t="s">
        <v>1425</v>
      </c>
      <c r="C283" s="64" t="s">
        <v>1426</v>
      </c>
      <c r="D283" s="11" t="s">
        <v>1045</v>
      </c>
      <c r="E283" s="11" t="s">
        <v>1046</v>
      </c>
      <c r="F283" s="11" t="s">
        <v>51</v>
      </c>
      <c r="G283" s="11" t="s">
        <v>295</v>
      </c>
      <c r="H283" s="5" t="s">
        <v>1427</v>
      </c>
      <c r="I283" s="5" t="s">
        <v>108</v>
      </c>
      <c r="J283" s="5">
        <v>0</v>
      </c>
      <c r="K283" s="5">
        <v>0</v>
      </c>
      <c r="L283" s="5">
        <v>15</v>
      </c>
      <c r="M283" s="5" t="s">
        <v>37</v>
      </c>
      <c r="N283" s="5">
        <v>1</v>
      </c>
      <c r="O283" s="5">
        <v>1</v>
      </c>
      <c r="P283" s="5">
        <v>10</v>
      </c>
      <c r="Q283" s="5" t="s">
        <v>413</v>
      </c>
      <c r="R283" s="5">
        <v>2</v>
      </c>
      <c r="S283" s="5">
        <v>2</v>
      </c>
      <c r="T283" s="5">
        <v>0</v>
      </c>
      <c r="U283" s="5"/>
      <c r="V283" s="5"/>
      <c r="W283" s="5"/>
      <c r="X283" s="5"/>
      <c r="Y283" s="6" t="s">
        <v>1428</v>
      </c>
      <c r="Z283" s="12" t="s">
        <v>1423</v>
      </c>
      <c r="AA283" s="5">
        <f>IF(OR(D283="Monster", E283="Basic"), 0, ROUND((MIN(IFERROR(VLOOKUP(G283, Relic_Price_Config!$A$5:$E$9, 4, FALSE), 350), MAX(IFERROR(VLOOKUP(G283, Relic_Price_Config!$A$5:$E$9, 3, FALSE), 210), ROUND((IFERROR(VLOOKUP(H283, Relic_Price_Config!$G$5:$N$100, 4, FALSE), 280) + N(L283) * IF(N(O283)&gt;1, N(O283), 1) * IFERROR(VLOOKUP(H283, Relic_Price_Config!$G$5:$N$100, 5, FALSE), 10) + ABS(N(R283)) * IFERROR(VLOOKUP(H283, Relic_Price_Config!$G$5:$N$100, 6, FALSE), 15) + IF(N(S283)&gt;1, (N(S283)-1)*10, 0)) * IFERROR(VLOOKUP(G283, Relic_Price_Config!$A$5:$E$9, 2, FALSE), 1), 0))) * 0.1) / 5, 0) * 5)</f>
        <v>0</v>
      </c>
      <c r="AB283" s="5">
        <f t="shared" si="4"/>
        <v>0</v>
      </c>
    </row>
    <row r="284" spans="1:28" ht="24">
      <c r="A284" s="5" t="s">
        <v>1429</v>
      </c>
      <c r="B284" s="5" t="s">
        <v>1430</v>
      </c>
      <c r="C284" s="6" t="s">
        <v>1431</v>
      </c>
      <c r="D284" s="11" t="s">
        <v>1045</v>
      </c>
      <c r="E284" s="11" t="s">
        <v>1046</v>
      </c>
      <c r="F284" s="11" t="s">
        <v>33</v>
      </c>
      <c r="G284" s="11" t="s">
        <v>295</v>
      </c>
      <c r="H284" s="5" t="s">
        <v>174</v>
      </c>
      <c r="I284" s="5" t="s">
        <v>108</v>
      </c>
      <c r="J284" s="5">
        <v>0</v>
      </c>
      <c r="K284" s="5">
        <v>0</v>
      </c>
      <c r="L284" s="5">
        <v>4</v>
      </c>
      <c r="M284" s="5" t="s">
        <v>37</v>
      </c>
      <c r="N284" s="5">
        <v>1</v>
      </c>
      <c r="O284" s="5">
        <v>4</v>
      </c>
      <c r="P284" s="5">
        <v>0</v>
      </c>
      <c r="Q284" s="5" t="s">
        <v>38</v>
      </c>
      <c r="R284" s="5">
        <v>0</v>
      </c>
      <c r="S284" s="5">
        <v>0</v>
      </c>
      <c r="T284" s="5">
        <v>0</v>
      </c>
      <c r="U284" s="5"/>
      <c r="V284" s="5"/>
      <c r="W284" s="5"/>
      <c r="X284" s="5"/>
      <c r="Y284" s="6" t="s">
        <v>1432</v>
      </c>
      <c r="Z284" s="12" t="s">
        <v>1433</v>
      </c>
      <c r="AA284" s="5">
        <f>IF(OR(D284="Monster", E284="Basic"), 0, ROUND((MIN(IFERROR(VLOOKUP(G284, Relic_Price_Config!$A$5:$E$9, 4, FALSE), 350), MAX(IFERROR(VLOOKUP(G284, Relic_Price_Config!$A$5:$E$9, 3, FALSE), 210), ROUND((IFERROR(VLOOKUP(H284, Relic_Price_Config!$G$5:$N$100, 4, FALSE), 280) + N(L284) * IF(N(O284)&gt;1, N(O284), 1) * IFERROR(VLOOKUP(H284, Relic_Price_Config!$G$5:$N$100, 5, FALSE), 10) + ABS(N(R284)) * IFERROR(VLOOKUP(H284, Relic_Price_Config!$G$5:$N$100, 6, FALSE), 15) + IF(N(S284)&gt;1, (N(S284)-1)*10, 0)) * IFERROR(VLOOKUP(G284, Relic_Price_Config!$A$5:$E$9, 2, FALSE), 1), 0))) * 0.1) / 5, 0) * 5)</f>
        <v>0</v>
      </c>
      <c r="AB284" s="5">
        <f t="shared" si="4"/>
        <v>0</v>
      </c>
    </row>
    <row r="285" spans="1:28" ht="24" customHeight="1">
      <c r="A285" s="5" t="s">
        <v>1434</v>
      </c>
      <c r="B285" s="5" t="s">
        <v>1435</v>
      </c>
      <c r="C285" s="6" t="s">
        <v>1436</v>
      </c>
      <c r="D285" s="11" t="s">
        <v>1045</v>
      </c>
      <c r="E285" s="11" t="s">
        <v>1046</v>
      </c>
      <c r="F285" s="11" t="s">
        <v>43</v>
      </c>
      <c r="G285" s="11" t="s">
        <v>295</v>
      </c>
      <c r="H285" s="5" t="s">
        <v>44</v>
      </c>
      <c r="I285" s="5" t="s">
        <v>45</v>
      </c>
      <c r="J285" s="5">
        <v>0</v>
      </c>
      <c r="K285" s="5">
        <v>0</v>
      </c>
      <c r="L285" s="5">
        <v>23</v>
      </c>
      <c r="M285" s="5" t="s">
        <v>46</v>
      </c>
      <c r="N285" s="5">
        <v>1</v>
      </c>
      <c r="O285" s="5">
        <v>1</v>
      </c>
      <c r="P285" s="5">
        <v>0</v>
      </c>
      <c r="Q285" s="5" t="s">
        <v>38</v>
      </c>
      <c r="R285" s="5">
        <v>0</v>
      </c>
      <c r="S285" s="5">
        <v>0</v>
      </c>
      <c r="T285" s="5">
        <v>0</v>
      </c>
      <c r="U285" s="5"/>
      <c r="V285" s="5"/>
      <c r="W285" s="5"/>
      <c r="X285" s="5"/>
      <c r="Y285" s="6" t="s">
        <v>1437</v>
      </c>
      <c r="Z285" s="12" t="s">
        <v>1433</v>
      </c>
      <c r="AA285" s="5">
        <f>IF(OR(D285="Monster", E285="Basic"), 0, ROUND((MIN(IFERROR(VLOOKUP(G285, Relic_Price_Config!$A$5:$E$9, 4, FALSE), 350), MAX(IFERROR(VLOOKUP(G285, Relic_Price_Config!$A$5:$E$9, 3, FALSE), 210), ROUND((IFERROR(VLOOKUP(H285, Relic_Price_Config!$G$5:$N$100, 4, FALSE), 280) + N(L285) * IF(N(O285)&gt;1, N(O285), 1) * IFERROR(VLOOKUP(H285, Relic_Price_Config!$G$5:$N$100, 5, FALSE), 10) + ABS(N(R285)) * IFERROR(VLOOKUP(H285, Relic_Price_Config!$G$5:$N$100, 6, FALSE), 15) + IF(N(S285)&gt;1, (N(S285)-1)*10, 0)) * IFERROR(VLOOKUP(G285, Relic_Price_Config!$A$5:$E$9, 2, FALSE), 1), 0))) * 0.1) / 5, 0) * 5)</f>
        <v>0</v>
      </c>
      <c r="AB285" s="5">
        <f t="shared" si="4"/>
        <v>0</v>
      </c>
    </row>
    <row r="286" spans="1:28" ht="24" customHeight="1">
      <c r="A286" s="5" t="s">
        <v>1438</v>
      </c>
      <c r="B286" s="5" t="s">
        <v>1439</v>
      </c>
      <c r="C286" s="9" t="s">
        <v>1440</v>
      </c>
      <c r="D286" s="11" t="s">
        <v>1045</v>
      </c>
      <c r="E286" s="11" t="s">
        <v>1046</v>
      </c>
      <c r="F286" s="11" t="s">
        <v>51</v>
      </c>
      <c r="G286" s="11" t="s">
        <v>295</v>
      </c>
      <c r="H286" s="5" t="s">
        <v>70</v>
      </c>
      <c r="I286" s="5" t="s">
        <v>45</v>
      </c>
      <c r="J286" s="5">
        <v>0</v>
      </c>
      <c r="K286" s="5">
        <v>0</v>
      </c>
      <c r="L286" s="5">
        <v>0</v>
      </c>
      <c r="M286" s="5" t="s">
        <v>38</v>
      </c>
      <c r="N286" s="5">
        <v>0</v>
      </c>
      <c r="O286" s="5">
        <v>0</v>
      </c>
      <c r="P286" s="5">
        <v>0</v>
      </c>
      <c r="Q286" s="5" t="s">
        <v>71</v>
      </c>
      <c r="R286" s="5">
        <v>3</v>
      </c>
      <c r="S286" s="5">
        <v>2</v>
      </c>
      <c r="T286" s="5">
        <v>0</v>
      </c>
      <c r="U286" s="5"/>
      <c r="V286" s="5"/>
      <c r="W286" s="5"/>
      <c r="X286" s="5"/>
      <c r="Y286" s="6" t="s">
        <v>1441</v>
      </c>
      <c r="Z286" s="12" t="s">
        <v>1433</v>
      </c>
      <c r="AA286" s="5">
        <f>IF(OR(D286="Monster", E286="Basic"), 0, ROUND((MIN(IFERROR(VLOOKUP(G286, Relic_Price_Config!$A$5:$E$9, 4, FALSE), 350), MAX(IFERROR(VLOOKUP(G286, Relic_Price_Config!$A$5:$E$9, 3, FALSE), 210), ROUND((IFERROR(VLOOKUP(H286, Relic_Price_Config!$G$5:$N$100, 4, FALSE), 280) + N(L286) * IF(N(O286)&gt;1, N(O286), 1) * IFERROR(VLOOKUP(H286, Relic_Price_Config!$G$5:$N$100, 5, FALSE), 10) + ABS(N(R286)) * IFERROR(VLOOKUP(H286, Relic_Price_Config!$G$5:$N$100, 6, FALSE), 15) + IF(N(S286)&gt;1, (N(S286)-1)*10, 0)) * IFERROR(VLOOKUP(G286, Relic_Price_Config!$A$5:$E$9, 2, FALSE), 1), 0))) * 0.1) / 5, 0) * 5)</f>
        <v>0</v>
      </c>
      <c r="AB286" s="5">
        <f t="shared" si="4"/>
        <v>0</v>
      </c>
    </row>
    <row r="287" spans="1:28" ht="24" customHeight="1">
      <c r="A287" s="5" t="s">
        <v>1442</v>
      </c>
      <c r="B287" s="5" t="s">
        <v>1443</v>
      </c>
      <c r="C287" s="6" t="s">
        <v>1444</v>
      </c>
      <c r="D287" s="11" t="s">
        <v>1045</v>
      </c>
      <c r="E287" s="11" t="s">
        <v>1046</v>
      </c>
      <c r="F287" s="11" t="s">
        <v>33</v>
      </c>
      <c r="G287" s="11" t="s">
        <v>295</v>
      </c>
      <c r="H287" s="5" t="s">
        <v>474</v>
      </c>
      <c r="I287" s="5" t="s">
        <v>108</v>
      </c>
      <c r="J287" s="5">
        <v>0</v>
      </c>
      <c r="K287" s="5">
        <v>0</v>
      </c>
      <c r="L287" s="5">
        <v>20</v>
      </c>
      <c r="M287" s="5" t="s">
        <v>37</v>
      </c>
      <c r="N287" s="5">
        <v>1</v>
      </c>
      <c r="O287" s="5">
        <v>1</v>
      </c>
      <c r="P287" s="5">
        <v>25</v>
      </c>
      <c r="Q287" s="5" t="s">
        <v>38</v>
      </c>
      <c r="R287" s="5">
        <v>0</v>
      </c>
      <c r="S287" s="5">
        <v>0</v>
      </c>
      <c r="T287" s="5">
        <v>0</v>
      </c>
      <c r="U287" s="5"/>
      <c r="V287" s="5"/>
      <c r="W287" s="5"/>
      <c r="X287" s="5"/>
      <c r="Y287" s="6" t="s">
        <v>1445</v>
      </c>
      <c r="Z287" s="12" t="s">
        <v>1446</v>
      </c>
      <c r="AA287" s="5">
        <f>IF(OR(D287="Monster", E287="Basic"), 0, ROUND((MIN(IFERROR(VLOOKUP(G287, Relic_Price_Config!$A$5:$E$9, 4, FALSE), 350), MAX(IFERROR(VLOOKUP(G287, Relic_Price_Config!$A$5:$E$9, 3, FALSE), 210), ROUND((IFERROR(VLOOKUP(H287, Relic_Price_Config!$G$5:$N$100, 4, FALSE), 280) + N(L287) * IF(N(O287)&gt;1, N(O287), 1) * IFERROR(VLOOKUP(H287, Relic_Price_Config!$G$5:$N$100, 5, FALSE), 10) + ABS(N(R287)) * IFERROR(VLOOKUP(H287, Relic_Price_Config!$G$5:$N$100, 6, FALSE), 15) + IF(N(S287)&gt;1, (N(S287)-1)*10, 0)) * IFERROR(VLOOKUP(G287, Relic_Price_Config!$A$5:$E$9, 2, FALSE), 1), 0))) * 0.1) / 5, 0) * 5)</f>
        <v>0</v>
      </c>
      <c r="AB287" s="5">
        <f t="shared" si="4"/>
        <v>0</v>
      </c>
    </row>
    <row r="288" spans="1:28" ht="24" customHeight="1">
      <c r="A288" s="5" t="s">
        <v>1447</v>
      </c>
      <c r="B288" s="5" t="s">
        <v>1448</v>
      </c>
      <c r="C288" s="9" t="s">
        <v>1449</v>
      </c>
      <c r="D288" s="11" t="s">
        <v>1045</v>
      </c>
      <c r="E288" s="11" t="s">
        <v>1046</v>
      </c>
      <c r="F288" s="11" t="s">
        <v>43</v>
      </c>
      <c r="G288" s="11" t="s">
        <v>295</v>
      </c>
      <c r="H288" s="5" t="s">
        <v>315</v>
      </c>
      <c r="I288" s="5" t="s">
        <v>45</v>
      </c>
      <c r="J288" s="5">
        <v>0</v>
      </c>
      <c r="K288" s="5">
        <v>0</v>
      </c>
      <c r="L288" s="5">
        <v>22</v>
      </c>
      <c r="M288" s="5" t="s">
        <v>46</v>
      </c>
      <c r="N288" s="5">
        <v>1</v>
      </c>
      <c r="O288" s="5">
        <v>1</v>
      </c>
      <c r="P288" s="5">
        <v>0</v>
      </c>
      <c r="Q288" s="5" t="s">
        <v>316</v>
      </c>
      <c r="R288" s="5">
        <v>3</v>
      </c>
      <c r="S288" s="5">
        <v>2</v>
      </c>
      <c r="T288" s="5">
        <v>0</v>
      </c>
      <c r="U288" s="5"/>
      <c r="V288" s="5"/>
      <c r="W288" s="5"/>
      <c r="X288" s="5"/>
      <c r="Y288" s="6" t="s">
        <v>1450</v>
      </c>
      <c r="Z288" s="12" t="s">
        <v>1451</v>
      </c>
      <c r="AA288" s="5">
        <f>IF(OR(D288="Monster", E288="Basic"), 0, ROUND((MIN(IFERROR(VLOOKUP(G288, Relic_Price_Config!$A$5:$E$9, 4, FALSE), 350), MAX(IFERROR(VLOOKUP(G288, Relic_Price_Config!$A$5:$E$9, 3, FALSE), 210), ROUND((IFERROR(VLOOKUP(H288, Relic_Price_Config!$G$5:$N$100, 4, FALSE), 280) + N(L288) * IF(N(O288)&gt;1, N(O288), 1) * IFERROR(VLOOKUP(H288, Relic_Price_Config!$G$5:$N$100, 5, FALSE), 10) + ABS(N(R288)) * IFERROR(VLOOKUP(H288, Relic_Price_Config!$G$5:$N$100, 6, FALSE), 15) + IF(N(S288)&gt;1, (N(S288)-1)*10, 0)) * IFERROR(VLOOKUP(G288, Relic_Price_Config!$A$5:$E$9, 2, FALSE), 1), 0))) * 0.1) / 5, 0) * 5)</f>
        <v>0</v>
      </c>
      <c r="AB288" s="5">
        <f t="shared" si="4"/>
        <v>0</v>
      </c>
    </row>
    <row r="289" spans="1:28" ht="24" customHeight="1">
      <c r="A289" s="5" t="s">
        <v>1452</v>
      </c>
      <c r="B289" s="5" t="s">
        <v>1453</v>
      </c>
      <c r="C289" s="6" t="s">
        <v>1454</v>
      </c>
      <c r="D289" s="11" t="s">
        <v>1045</v>
      </c>
      <c r="E289" s="11" t="s">
        <v>1046</v>
      </c>
      <c r="F289" s="11" t="s">
        <v>51</v>
      </c>
      <c r="G289" s="11" t="s">
        <v>295</v>
      </c>
      <c r="H289" s="5" t="s">
        <v>550</v>
      </c>
      <c r="I289" s="5" t="s">
        <v>108</v>
      </c>
      <c r="J289" s="5">
        <v>0</v>
      </c>
      <c r="K289" s="5">
        <v>0</v>
      </c>
      <c r="L289" s="5">
        <v>24</v>
      </c>
      <c r="M289" s="5" t="s">
        <v>37</v>
      </c>
      <c r="N289" s="5">
        <v>1</v>
      </c>
      <c r="O289" s="5">
        <v>1</v>
      </c>
      <c r="P289" s="5">
        <v>19</v>
      </c>
      <c r="Q289" s="5" t="s">
        <v>322</v>
      </c>
      <c r="R289" s="5">
        <v>1</v>
      </c>
      <c r="S289" s="5">
        <v>1</v>
      </c>
      <c r="T289" s="5">
        <v>0</v>
      </c>
      <c r="U289" s="5"/>
      <c r="V289" s="5"/>
      <c r="W289" s="5"/>
      <c r="X289" s="5"/>
      <c r="Y289" s="6" t="s">
        <v>1455</v>
      </c>
      <c r="Z289" s="12" t="s">
        <v>1446</v>
      </c>
      <c r="AA289" s="5">
        <f>IF(OR(D289="Monster", E289="Basic"), 0, ROUND((MIN(IFERROR(VLOOKUP(G289, Relic_Price_Config!$A$5:$E$9, 4, FALSE), 350), MAX(IFERROR(VLOOKUP(G289, Relic_Price_Config!$A$5:$E$9, 3, FALSE), 210), ROUND((IFERROR(VLOOKUP(H289, Relic_Price_Config!$G$5:$N$100, 4, FALSE), 280) + N(L289) * IF(N(O289)&gt;1, N(O289), 1) * IFERROR(VLOOKUP(H289, Relic_Price_Config!$G$5:$N$100, 5, FALSE), 10) + ABS(N(R289)) * IFERROR(VLOOKUP(H289, Relic_Price_Config!$G$5:$N$100, 6, FALSE), 15) + IF(N(S289)&gt;1, (N(S289)-1)*10, 0)) * IFERROR(VLOOKUP(G289, Relic_Price_Config!$A$5:$E$9, 2, FALSE), 1), 0))) * 0.1) / 5, 0) * 5)</f>
        <v>0</v>
      </c>
      <c r="AB289" s="5">
        <f t="shared" si="4"/>
        <v>0</v>
      </c>
    </row>
    <row r="290" spans="1:28" ht="24" customHeight="1">
      <c r="A290" s="5" t="s">
        <v>1456</v>
      </c>
      <c r="B290" s="5" t="s">
        <v>1457</v>
      </c>
      <c r="C290" s="85" t="s">
        <v>1458</v>
      </c>
      <c r="D290" s="11" t="s">
        <v>1045</v>
      </c>
      <c r="E290" s="11" t="s">
        <v>1046</v>
      </c>
      <c r="F290" s="11" t="s">
        <v>33</v>
      </c>
      <c r="G290" s="11" t="s">
        <v>34</v>
      </c>
      <c r="H290" s="5" t="s">
        <v>652</v>
      </c>
      <c r="I290" s="5" t="s">
        <v>108</v>
      </c>
      <c r="J290" s="5">
        <v>0</v>
      </c>
      <c r="K290" s="5">
        <v>0</v>
      </c>
      <c r="L290" s="5">
        <v>5</v>
      </c>
      <c r="M290" s="5" t="s">
        <v>37</v>
      </c>
      <c r="N290" s="5">
        <v>1</v>
      </c>
      <c r="O290" s="5">
        <v>1</v>
      </c>
      <c r="P290" s="5">
        <v>0</v>
      </c>
      <c r="Q290" s="5" t="s">
        <v>38</v>
      </c>
      <c r="R290" s="5">
        <v>0</v>
      </c>
      <c r="S290" s="5">
        <v>0</v>
      </c>
      <c r="T290" s="5">
        <v>0</v>
      </c>
      <c r="U290" s="5"/>
      <c r="V290" s="5"/>
      <c r="W290" s="5"/>
      <c r="X290" s="5"/>
      <c r="Y290" s="6" t="s">
        <v>1459</v>
      </c>
      <c r="Z290" s="12" t="s">
        <v>1460</v>
      </c>
      <c r="AA290" s="5">
        <f>IF(OR(D290="Monster", E290="Basic"), 0, ROUND((MIN(IFERROR(VLOOKUP(G290, Relic_Price_Config!$A$5:$E$9, 4, FALSE), 350), MAX(IFERROR(VLOOKUP(G290, Relic_Price_Config!$A$5:$E$9, 3, FALSE), 210), ROUND((IFERROR(VLOOKUP(H290, Relic_Price_Config!$G$5:$N$100, 4, FALSE), 280) + N(L290) * IF(N(O290)&gt;1, N(O290), 1) * IFERROR(VLOOKUP(H290, Relic_Price_Config!$G$5:$N$100, 5, FALSE), 10) + ABS(N(R290)) * IFERROR(VLOOKUP(H290, Relic_Price_Config!$G$5:$N$100, 6, FALSE), 15) + IF(N(S290)&gt;1, (N(S290)-1)*10, 0)) * IFERROR(VLOOKUP(G290, Relic_Price_Config!$A$5:$E$9, 2, FALSE), 1), 0))) * 0.1) / 5, 0) * 5)</f>
        <v>0</v>
      </c>
      <c r="AB290" s="5">
        <f t="shared" si="4"/>
        <v>0</v>
      </c>
    </row>
    <row r="291" spans="1:28" ht="24" customHeight="1">
      <c r="A291" s="5" t="s">
        <v>1461</v>
      </c>
      <c r="B291" s="5" t="s">
        <v>1462</v>
      </c>
      <c r="C291" s="6" t="s">
        <v>1463</v>
      </c>
      <c r="D291" s="11" t="s">
        <v>1045</v>
      </c>
      <c r="E291" s="11" t="s">
        <v>1046</v>
      </c>
      <c r="F291" s="11" t="s">
        <v>33</v>
      </c>
      <c r="G291" s="11" t="s">
        <v>34</v>
      </c>
      <c r="H291" s="5" t="s">
        <v>309</v>
      </c>
      <c r="I291" s="5" t="s">
        <v>108</v>
      </c>
      <c r="J291" s="5">
        <v>0</v>
      </c>
      <c r="K291" s="5">
        <v>0</v>
      </c>
      <c r="L291" s="5">
        <v>4</v>
      </c>
      <c r="M291" s="5" t="s">
        <v>37</v>
      </c>
      <c r="N291" s="5">
        <v>1</v>
      </c>
      <c r="O291" s="5">
        <v>1</v>
      </c>
      <c r="P291" s="5">
        <v>0</v>
      </c>
      <c r="Q291" s="5" t="s">
        <v>130</v>
      </c>
      <c r="R291" s="5">
        <v>1</v>
      </c>
      <c r="S291" s="5">
        <v>1</v>
      </c>
      <c r="T291" s="5">
        <v>0</v>
      </c>
      <c r="U291" s="5"/>
      <c r="V291" s="5"/>
      <c r="W291" s="5"/>
      <c r="X291" s="5"/>
      <c r="Y291" s="6" t="s">
        <v>1464</v>
      </c>
      <c r="Z291" s="12" t="s">
        <v>1465</v>
      </c>
      <c r="AA291" s="5">
        <f>IF(OR(D291="Monster", E291="Basic"), 0, ROUND((MIN(IFERROR(VLOOKUP(G291, Relic_Price_Config!$A$5:$E$9, 4, FALSE), 350), MAX(IFERROR(VLOOKUP(G291, Relic_Price_Config!$A$5:$E$9, 3, FALSE), 210), ROUND((IFERROR(VLOOKUP(H291, Relic_Price_Config!$G$5:$N$100, 4, FALSE), 280) + N(L291) * IF(N(O291)&gt;1, N(O291), 1) * IFERROR(VLOOKUP(H291, Relic_Price_Config!$G$5:$N$100, 5, FALSE), 10) + ABS(N(R291)) * IFERROR(VLOOKUP(H291, Relic_Price_Config!$G$5:$N$100, 6, FALSE), 15) + IF(N(S291)&gt;1, (N(S291)-1)*10, 0)) * IFERROR(VLOOKUP(G291, Relic_Price_Config!$A$5:$E$9, 2, FALSE), 1), 0))) * 0.1) / 5, 0) * 5)</f>
        <v>0</v>
      </c>
      <c r="AB291" s="5">
        <f t="shared" si="4"/>
        <v>0</v>
      </c>
    </row>
    <row r="292" spans="1:28" ht="24" customHeight="1">
      <c r="A292" s="5" t="s">
        <v>1466</v>
      </c>
      <c r="B292" s="5" t="s">
        <v>1467</v>
      </c>
      <c r="C292" s="64" t="s">
        <v>1468</v>
      </c>
      <c r="D292" s="11" t="s">
        <v>1045</v>
      </c>
      <c r="E292" s="11" t="s">
        <v>1046</v>
      </c>
      <c r="F292" s="11" t="s">
        <v>43</v>
      </c>
      <c r="G292" s="11" t="s">
        <v>34</v>
      </c>
      <c r="H292" s="5" t="s">
        <v>44</v>
      </c>
      <c r="I292" s="5" t="s">
        <v>45</v>
      </c>
      <c r="J292" s="5">
        <v>0</v>
      </c>
      <c r="K292" s="5">
        <v>0</v>
      </c>
      <c r="L292" s="5">
        <v>5</v>
      </c>
      <c r="M292" s="5" t="s">
        <v>46</v>
      </c>
      <c r="N292" s="5">
        <v>1</v>
      </c>
      <c r="O292" s="5">
        <v>1</v>
      </c>
      <c r="P292" s="5">
        <v>0</v>
      </c>
      <c r="Q292" s="5" t="s">
        <v>38</v>
      </c>
      <c r="R292" s="5">
        <v>0</v>
      </c>
      <c r="S292" s="5">
        <v>0</v>
      </c>
      <c r="T292" s="5">
        <v>0</v>
      </c>
      <c r="U292" s="5"/>
      <c r="V292" s="5"/>
      <c r="W292" s="5"/>
      <c r="X292" s="5"/>
      <c r="Y292" s="6" t="s">
        <v>1469</v>
      </c>
      <c r="Z292" s="12" t="s">
        <v>1470</v>
      </c>
      <c r="AA292" s="5">
        <f>IF(OR(D292="Monster", E292="Basic"), 0, ROUND((MIN(IFERROR(VLOOKUP(G292, Relic_Price_Config!$A$5:$E$9, 4, FALSE), 350), MAX(IFERROR(VLOOKUP(G292, Relic_Price_Config!$A$5:$E$9, 3, FALSE), 210), ROUND((IFERROR(VLOOKUP(H292, Relic_Price_Config!$G$5:$N$100, 4, FALSE), 280) + N(L292) * IF(N(O292)&gt;1, N(O292), 1) * IFERROR(VLOOKUP(H292, Relic_Price_Config!$G$5:$N$100, 5, FALSE), 10) + ABS(N(R292)) * IFERROR(VLOOKUP(H292, Relic_Price_Config!$G$5:$N$100, 6, FALSE), 15) + IF(N(S292)&gt;1, (N(S292)-1)*10, 0)) * IFERROR(VLOOKUP(G292, Relic_Price_Config!$A$5:$E$9, 2, FALSE), 1), 0))) * 0.1) / 5, 0) * 5)</f>
        <v>0</v>
      </c>
      <c r="AB292" s="5">
        <f t="shared" si="4"/>
        <v>0</v>
      </c>
    </row>
    <row r="293" spans="1:28" ht="24" customHeight="1">
      <c r="A293" s="5" t="s">
        <v>1471</v>
      </c>
      <c r="B293" s="5" t="s">
        <v>1472</v>
      </c>
      <c r="C293" s="6" t="s">
        <v>1473</v>
      </c>
      <c r="D293" s="11" t="s">
        <v>1045</v>
      </c>
      <c r="E293" s="11" t="s">
        <v>1046</v>
      </c>
      <c r="F293" s="11" t="s">
        <v>43</v>
      </c>
      <c r="G293" s="11" t="s">
        <v>34</v>
      </c>
      <c r="H293" s="5" t="s">
        <v>44</v>
      </c>
      <c r="I293" s="5" t="s">
        <v>45</v>
      </c>
      <c r="J293" s="5">
        <v>0</v>
      </c>
      <c r="K293" s="5">
        <v>0</v>
      </c>
      <c r="L293" s="5">
        <v>6</v>
      </c>
      <c r="M293" s="5" t="s">
        <v>46</v>
      </c>
      <c r="N293" s="5">
        <v>1</v>
      </c>
      <c r="O293" s="5">
        <v>1</v>
      </c>
      <c r="P293" s="5">
        <v>0</v>
      </c>
      <c r="Q293" s="5" t="s">
        <v>38</v>
      </c>
      <c r="R293" s="5">
        <v>0</v>
      </c>
      <c r="S293" s="5">
        <v>0</v>
      </c>
      <c r="T293" s="5">
        <v>0</v>
      </c>
      <c r="U293" s="5"/>
      <c r="V293" s="5"/>
      <c r="W293" s="5"/>
      <c r="X293" s="5"/>
      <c r="Y293" s="6" t="s">
        <v>1474</v>
      </c>
      <c r="Z293" s="12" t="s">
        <v>1475</v>
      </c>
      <c r="AA293" s="5">
        <f>IF(OR(D293="Monster", E293="Basic"), 0, ROUND((MIN(IFERROR(VLOOKUP(G293, Relic_Price_Config!$A$5:$E$9, 4, FALSE), 350), MAX(IFERROR(VLOOKUP(G293, Relic_Price_Config!$A$5:$E$9, 3, FALSE), 210), ROUND((IFERROR(VLOOKUP(H293, Relic_Price_Config!$G$5:$N$100, 4, FALSE), 280) + N(L293) * IF(N(O293)&gt;1, N(O293), 1) * IFERROR(VLOOKUP(H293, Relic_Price_Config!$G$5:$N$100, 5, FALSE), 10) + ABS(N(R293)) * IFERROR(VLOOKUP(H293, Relic_Price_Config!$G$5:$N$100, 6, FALSE), 15) + IF(N(S293)&gt;1, (N(S293)-1)*10, 0)) * IFERROR(VLOOKUP(G293, Relic_Price_Config!$A$5:$E$9, 2, FALSE), 1), 0))) * 0.1) / 5, 0) * 5)</f>
        <v>0</v>
      </c>
      <c r="AB293" s="5">
        <f t="shared" si="4"/>
        <v>0</v>
      </c>
    </row>
    <row r="294" spans="1:28" ht="24" customHeight="1">
      <c r="A294" s="5" t="s">
        <v>1476</v>
      </c>
      <c r="B294" s="5" t="s">
        <v>1477</v>
      </c>
      <c r="C294" s="64" t="s">
        <v>1478</v>
      </c>
      <c r="D294" s="11" t="s">
        <v>1045</v>
      </c>
      <c r="E294" s="11" t="s">
        <v>1046</v>
      </c>
      <c r="F294" s="11" t="s">
        <v>51</v>
      </c>
      <c r="G294" s="11" t="s">
        <v>34</v>
      </c>
      <c r="H294" s="5" t="s">
        <v>1308</v>
      </c>
      <c r="I294" s="5" t="s">
        <v>108</v>
      </c>
      <c r="J294" s="5">
        <v>0</v>
      </c>
      <c r="K294" s="5">
        <v>0</v>
      </c>
      <c r="L294" s="5">
        <v>0</v>
      </c>
      <c r="M294" s="5" t="s">
        <v>38</v>
      </c>
      <c r="N294" s="5">
        <v>0</v>
      </c>
      <c r="O294" s="5">
        <v>0</v>
      </c>
      <c r="P294" s="5">
        <v>0</v>
      </c>
      <c r="Q294" s="5" t="s">
        <v>130</v>
      </c>
      <c r="R294" s="5">
        <v>2</v>
      </c>
      <c r="S294" s="5">
        <v>1</v>
      </c>
      <c r="T294" s="5">
        <v>0</v>
      </c>
      <c r="U294" s="5"/>
      <c r="V294" s="5"/>
      <c r="W294" s="5"/>
      <c r="X294" s="5"/>
      <c r="Y294" s="6" t="s">
        <v>1479</v>
      </c>
      <c r="Z294" s="12" t="s">
        <v>1465</v>
      </c>
      <c r="AA294" s="5">
        <f>IF(OR(D294="Monster", E294="Basic"), 0, ROUND((MIN(IFERROR(VLOOKUP(G294, Relic_Price_Config!$A$5:$E$9, 4, FALSE), 350), MAX(IFERROR(VLOOKUP(G294, Relic_Price_Config!$A$5:$E$9, 3, FALSE), 210), ROUND((IFERROR(VLOOKUP(H294, Relic_Price_Config!$G$5:$N$100, 4, FALSE), 280) + N(L294) * IF(N(O294)&gt;1, N(O294), 1) * IFERROR(VLOOKUP(H294, Relic_Price_Config!$G$5:$N$100, 5, FALSE), 10) + ABS(N(R294)) * IFERROR(VLOOKUP(H294, Relic_Price_Config!$G$5:$N$100, 6, FALSE), 15) + IF(N(S294)&gt;1, (N(S294)-1)*10, 0)) * IFERROR(VLOOKUP(G294, Relic_Price_Config!$A$5:$E$9, 2, FALSE), 1), 0))) * 0.1) / 5, 0) * 5)</f>
        <v>0</v>
      </c>
      <c r="AB294" s="5">
        <f t="shared" si="4"/>
        <v>0</v>
      </c>
    </row>
    <row r="295" spans="1:28" ht="24" customHeight="1">
      <c r="A295" s="5" t="s">
        <v>1480</v>
      </c>
      <c r="B295" s="5" t="s">
        <v>1481</v>
      </c>
      <c r="C295" s="64" t="s">
        <v>1482</v>
      </c>
      <c r="D295" s="11" t="s">
        <v>1045</v>
      </c>
      <c r="E295" s="11" t="s">
        <v>1046</v>
      </c>
      <c r="F295" s="11" t="s">
        <v>33</v>
      </c>
      <c r="G295" s="11" t="s">
        <v>34</v>
      </c>
      <c r="H295" s="5" t="s">
        <v>174</v>
      </c>
      <c r="I295" s="5" t="s">
        <v>108</v>
      </c>
      <c r="J295" s="5">
        <v>0</v>
      </c>
      <c r="K295" s="5">
        <v>0</v>
      </c>
      <c r="L295" s="5">
        <v>3</v>
      </c>
      <c r="M295" s="5" t="s">
        <v>37</v>
      </c>
      <c r="N295" s="5">
        <v>1</v>
      </c>
      <c r="O295" s="5">
        <v>2</v>
      </c>
      <c r="P295" s="5">
        <v>0</v>
      </c>
      <c r="Q295" s="5" t="s">
        <v>38</v>
      </c>
      <c r="R295" s="5">
        <v>0</v>
      </c>
      <c r="S295" s="5">
        <v>0</v>
      </c>
      <c r="T295" s="5">
        <v>0</v>
      </c>
      <c r="U295" s="5"/>
      <c r="V295" s="5"/>
      <c r="W295" s="5"/>
      <c r="X295" s="5"/>
      <c r="Y295" s="6" t="s">
        <v>1483</v>
      </c>
      <c r="Z295" s="12" t="s">
        <v>1484</v>
      </c>
      <c r="AA295" s="5">
        <f>IF(OR(D295="Monster", E295="Basic"), 0, ROUND((MIN(IFERROR(VLOOKUP(G295, Relic_Price_Config!$A$5:$E$9, 4, FALSE), 350), MAX(IFERROR(VLOOKUP(G295, Relic_Price_Config!$A$5:$E$9, 3, FALSE), 210), ROUND((IFERROR(VLOOKUP(H295, Relic_Price_Config!$G$5:$N$100, 4, FALSE), 280) + N(L295) * IF(N(O295)&gt;1, N(O295), 1) * IFERROR(VLOOKUP(H295, Relic_Price_Config!$G$5:$N$100, 5, FALSE), 10) + ABS(N(R295)) * IFERROR(VLOOKUP(H295, Relic_Price_Config!$G$5:$N$100, 6, FALSE), 15) + IF(N(S295)&gt;1, (N(S295)-1)*10, 0)) * IFERROR(VLOOKUP(G295, Relic_Price_Config!$A$5:$E$9, 2, FALSE), 1), 0))) * 0.1) / 5, 0) * 5)</f>
        <v>0</v>
      </c>
      <c r="AB295" s="5">
        <f t="shared" si="4"/>
        <v>0</v>
      </c>
    </row>
    <row r="296" spans="1:28" ht="24" customHeight="1">
      <c r="A296" s="5" t="s">
        <v>1485</v>
      </c>
      <c r="B296" s="5" t="s">
        <v>1486</v>
      </c>
      <c r="C296" s="9" t="s">
        <v>1487</v>
      </c>
      <c r="D296" s="11" t="s">
        <v>1045</v>
      </c>
      <c r="E296" s="11" t="s">
        <v>1046</v>
      </c>
      <c r="F296" s="11" t="s">
        <v>51</v>
      </c>
      <c r="G296" s="11" t="s">
        <v>34</v>
      </c>
      <c r="H296" s="5" t="s">
        <v>613</v>
      </c>
      <c r="I296" s="5" t="s">
        <v>504</v>
      </c>
      <c r="J296" s="5">
        <v>0</v>
      </c>
      <c r="K296" s="5">
        <v>0</v>
      </c>
      <c r="L296" s="5">
        <v>0</v>
      </c>
      <c r="M296" s="5" t="s">
        <v>38</v>
      </c>
      <c r="N296" s="5">
        <v>0</v>
      </c>
      <c r="O296" s="5">
        <v>0</v>
      </c>
      <c r="P296" s="5">
        <v>0</v>
      </c>
      <c r="Q296" s="5" t="s">
        <v>71</v>
      </c>
      <c r="R296" s="5">
        <v>1</v>
      </c>
      <c r="S296" s="5">
        <v>1</v>
      </c>
      <c r="T296" s="5">
        <v>0</v>
      </c>
      <c r="U296" s="5"/>
      <c r="V296" s="5"/>
      <c r="W296" s="5"/>
      <c r="X296" s="5"/>
      <c r="Y296" s="9" t="s">
        <v>1488</v>
      </c>
      <c r="Z296" s="12" t="s">
        <v>1484</v>
      </c>
      <c r="AA296" s="5">
        <f>IF(OR(D296="Monster", E296="Basic"), 0, ROUND((MIN(IFERROR(VLOOKUP(G296, Relic_Price_Config!$A$5:$E$9, 4, FALSE), 350), MAX(IFERROR(VLOOKUP(G296, Relic_Price_Config!$A$5:$E$9, 3, FALSE), 210), ROUND((IFERROR(VLOOKUP(H296, Relic_Price_Config!$G$5:$N$100, 4, FALSE), 280) + N(L296) * IF(N(O296)&gt;1, N(O296), 1) * IFERROR(VLOOKUP(H296, Relic_Price_Config!$G$5:$N$100, 5, FALSE), 10) + ABS(N(R296)) * IFERROR(VLOOKUP(H296, Relic_Price_Config!$G$5:$N$100, 6, FALSE), 15) + IF(N(S296)&gt;1, (N(S296)-1)*10, 0)) * IFERROR(VLOOKUP(G296, Relic_Price_Config!$A$5:$E$9, 2, FALSE), 1), 0))) * 0.1) / 5, 0) * 5)</f>
        <v>0</v>
      </c>
      <c r="AB296" s="5">
        <f t="shared" si="4"/>
        <v>0</v>
      </c>
    </row>
    <row r="297" spans="1:28" ht="27.6" customHeight="1">
      <c r="A297" s="5" t="s">
        <v>1489</v>
      </c>
      <c r="B297" s="5" t="s">
        <v>1490</v>
      </c>
      <c r="C297" s="6" t="s">
        <v>1491</v>
      </c>
      <c r="D297" s="11" t="s">
        <v>1045</v>
      </c>
      <c r="E297" s="11" t="s">
        <v>1046</v>
      </c>
      <c r="F297" s="11" t="s">
        <v>51</v>
      </c>
      <c r="G297" s="11" t="s">
        <v>34</v>
      </c>
      <c r="H297" s="5" t="s">
        <v>1327</v>
      </c>
      <c r="I297" s="5" t="s">
        <v>45</v>
      </c>
      <c r="J297" s="5">
        <v>0</v>
      </c>
      <c r="K297" s="5">
        <v>0</v>
      </c>
      <c r="L297" s="5">
        <v>0</v>
      </c>
      <c r="M297" s="5" t="s">
        <v>38</v>
      </c>
      <c r="N297" s="5">
        <v>0</v>
      </c>
      <c r="O297" s="5">
        <v>0</v>
      </c>
      <c r="P297" s="5">
        <v>0</v>
      </c>
      <c r="Q297" s="5" t="s">
        <v>316</v>
      </c>
      <c r="R297" s="5">
        <v>1</v>
      </c>
      <c r="S297" s="5">
        <v>1</v>
      </c>
      <c r="T297" s="5">
        <v>0</v>
      </c>
      <c r="U297" s="5"/>
      <c r="V297" s="5"/>
      <c r="W297" s="5"/>
      <c r="X297" s="5"/>
      <c r="Y297" s="9" t="s">
        <v>1492</v>
      </c>
      <c r="Z297" s="12" t="s">
        <v>1493</v>
      </c>
      <c r="AA297" s="5">
        <f>IF(OR(D297="Monster", E297="Basic"), 0, ROUND((MIN(IFERROR(VLOOKUP(G297, Relic_Price_Config!$A$5:$E$9, 4, FALSE), 350), MAX(IFERROR(VLOOKUP(G297, Relic_Price_Config!$A$5:$E$9, 3, FALSE), 210), ROUND((IFERROR(VLOOKUP(H297, Relic_Price_Config!$G$5:$N$100, 4, FALSE), 280) + N(L297) * IF(N(O297)&gt;1, N(O297), 1) * IFERROR(VLOOKUP(H297, Relic_Price_Config!$G$5:$N$100, 5, FALSE), 10) + ABS(N(R297)) * IFERROR(VLOOKUP(H297, Relic_Price_Config!$G$5:$N$100, 6, FALSE), 15) + IF(N(S297)&gt;1, (N(S297)-1)*10, 0)) * IFERROR(VLOOKUP(G297, Relic_Price_Config!$A$5:$E$9, 2, FALSE), 1), 0))) * 0.1) / 5, 0) * 5)</f>
        <v>0</v>
      </c>
      <c r="AB297" s="5">
        <f t="shared" si="4"/>
        <v>0</v>
      </c>
    </row>
    <row r="298" spans="1:28">
      <c r="A298" s="5" t="s">
        <v>1494</v>
      </c>
      <c r="B298" s="5" t="s">
        <v>1495</v>
      </c>
      <c r="C298" s="6" t="s">
        <v>1496</v>
      </c>
      <c r="D298" s="11" t="s">
        <v>1045</v>
      </c>
      <c r="E298" s="11" t="s">
        <v>1046</v>
      </c>
      <c r="F298" s="11" t="s">
        <v>33</v>
      </c>
      <c r="G298" s="11" t="s">
        <v>34</v>
      </c>
      <c r="H298" s="5" t="s">
        <v>652</v>
      </c>
      <c r="I298" s="5" t="s">
        <v>108</v>
      </c>
      <c r="J298" s="5">
        <v>0</v>
      </c>
      <c r="K298" s="5">
        <v>0</v>
      </c>
      <c r="L298" s="5">
        <v>6</v>
      </c>
      <c r="M298" s="5" t="s">
        <v>37</v>
      </c>
      <c r="N298" s="5">
        <v>1</v>
      </c>
      <c r="O298" s="5">
        <v>1</v>
      </c>
      <c r="P298" s="5">
        <v>0</v>
      </c>
      <c r="Q298" s="5" t="s">
        <v>38</v>
      </c>
      <c r="R298" s="5">
        <v>0</v>
      </c>
      <c r="S298" s="5">
        <v>0</v>
      </c>
      <c r="T298" s="5">
        <v>0</v>
      </c>
      <c r="U298" s="5"/>
      <c r="V298" s="5"/>
      <c r="W298" s="5"/>
      <c r="X298" s="5"/>
      <c r="Y298" s="64" t="s">
        <v>1497</v>
      </c>
      <c r="Z298" s="12" t="s">
        <v>1498</v>
      </c>
      <c r="AA298" s="5">
        <f>IF(OR(D298="Monster", E298="Basic"), 0, ROUND((MIN(IFERROR(VLOOKUP(G298, Relic_Price_Config!$A$5:$E$9, 4, FALSE), 350), MAX(IFERROR(VLOOKUP(G298, Relic_Price_Config!$A$5:$E$9, 3, FALSE), 210), ROUND((IFERROR(VLOOKUP(H298, Relic_Price_Config!$G$5:$N$100, 4, FALSE), 280) + N(L298) * IF(N(O298)&gt;1, N(O298), 1) * IFERROR(VLOOKUP(H298, Relic_Price_Config!$G$5:$N$100, 5, FALSE), 10) + ABS(N(R298)) * IFERROR(VLOOKUP(H298, Relic_Price_Config!$G$5:$N$100, 6, FALSE), 15) + IF(N(S298)&gt;1, (N(S298)-1)*10, 0)) * IFERROR(VLOOKUP(G298, Relic_Price_Config!$A$5:$E$9, 2, FALSE), 1), 0))) * 0.1) / 5, 0) * 5)</f>
        <v>0</v>
      </c>
      <c r="AB298" s="5">
        <f t="shared" si="4"/>
        <v>0</v>
      </c>
    </row>
    <row r="299" spans="1:28" ht="24" customHeight="1">
      <c r="A299" s="5" t="s">
        <v>1499</v>
      </c>
      <c r="B299" s="5" t="s">
        <v>1500</v>
      </c>
      <c r="C299" s="9" t="s">
        <v>1501</v>
      </c>
      <c r="D299" s="11" t="s">
        <v>1045</v>
      </c>
      <c r="E299" s="11" t="s">
        <v>1046</v>
      </c>
      <c r="F299" s="11" t="s">
        <v>51</v>
      </c>
      <c r="G299" s="11" t="s">
        <v>34</v>
      </c>
      <c r="H299" s="5" t="s">
        <v>100</v>
      </c>
      <c r="I299" s="5" t="s">
        <v>45</v>
      </c>
      <c r="J299" s="5">
        <v>0</v>
      </c>
      <c r="K299" s="5">
        <v>0</v>
      </c>
      <c r="L299" s="5">
        <v>0</v>
      </c>
      <c r="M299" s="5" t="s">
        <v>38</v>
      </c>
      <c r="N299" s="5">
        <v>0</v>
      </c>
      <c r="O299" s="5">
        <v>0</v>
      </c>
      <c r="P299" s="5">
        <v>0</v>
      </c>
      <c r="Q299" s="5" t="s">
        <v>101</v>
      </c>
      <c r="R299" s="5">
        <v>1</v>
      </c>
      <c r="S299" s="5">
        <v>1</v>
      </c>
      <c r="T299" s="5">
        <v>0</v>
      </c>
      <c r="U299" s="5"/>
      <c r="V299" s="5"/>
      <c r="W299" s="5"/>
      <c r="X299" s="5"/>
      <c r="Y299" s="9" t="s">
        <v>1502</v>
      </c>
      <c r="Z299" s="12" t="s">
        <v>1498</v>
      </c>
      <c r="AA299" s="5">
        <f>IF(OR(D299="Monster", E299="Basic"), 0, ROUND((MIN(IFERROR(VLOOKUP(G299, Relic_Price_Config!$A$5:$E$9, 4, FALSE), 350), MAX(IFERROR(VLOOKUP(G299, Relic_Price_Config!$A$5:$E$9, 3, FALSE), 210), ROUND((IFERROR(VLOOKUP(H299, Relic_Price_Config!$G$5:$N$100, 4, FALSE), 280) + N(L299) * IF(N(O299)&gt;1, N(O299), 1) * IFERROR(VLOOKUP(H299, Relic_Price_Config!$G$5:$N$100, 5, FALSE), 10) + ABS(N(R299)) * IFERROR(VLOOKUP(H299, Relic_Price_Config!$G$5:$N$100, 6, FALSE), 15) + IF(N(S299)&gt;1, (N(S299)-1)*10, 0)) * IFERROR(VLOOKUP(G299, Relic_Price_Config!$A$5:$E$9, 2, FALSE), 1), 0))) * 0.1) / 5, 0) * 5)</f>
        <v>0</v>
      </c>
      <c r="AB299" s="5">
        <f t="shared" si="4"/>
        <v>0</v>
      </c>
    </row>
    <row r="300" spans="1:28" ht="24" customHeight="1">
      <c r="A300" s="5" t="s">
        <v>1503</v>
      </c>
      <c r="B300" s="5" t="s">
        <v>1504</v>
      </c>
      <c r="C300" s="64" t="s">
        <v>1505</v>
      </c>
      <c r="D300" s="11" t="s">
        <v>1045</v>
      </c>
      <c r="E300" s="11" t="s">
        <v>1046</v>
      </c>
      <c r="F300" s="11" t="s">
        <v>51</v>
      </c>
      <c r="G300" s="11" t="s">
        <v>34</v>
      </c>
      <c r="H300" s="5" t="s">
        <v>1086</v>
      </c>
      <c r="I300" s="5" t="s">
        <v>108</v>
      </c>
      <c r="J300" s="5">
        <v>0</v>
      </c>
      <c r="K300" s="5">
        <v>0</v>
      </c>
      <c r="L300" s="5">
        <v>4</v>
      </c>
      <c r="M300" s="5" t="s">
        <v>37</v>
      </c>
      <c r="N300" s="5">
        <v>1</v>
      </c>
      <c r="O300" s="5">
        <v>1</v>
      </c>
      <c r="P300" s="5">
        <v>0</v>
      </c>
      <c r="Q300" s="5" t="s">
        <v>425</v>
      </c>
      <c r="R300" s="5">
        <v>1</v>
      </c>
      <c r="S300" s="5">
        <v>1</v>
      </c>
      <c r="T300" s="5">
        <v>0</v>
      </c>
      <c r="U300" s="5"/>
      <c r="V300" s="5"/>
      <c r="W300" s="5"/>
      <c r="X300" s="5"/>
      <c r="Y300" s="6" t="s">
        <v>1506</v>
      </c>
      <c r="Z300" s="12" t="s">
        <v>1507</v>
      </c>
      <c r="AA300" s="5">
        <f>IF(OR(D300="Monster", E300="Basic"), 0, ROUND((MIN(IFERROR(VLOOKUP(G300, Relic_Price_Config!$A$5:$E$9, 4, FALSE), 350), MAX(IFERROR(VLOOKUP(G300, Relic_Price_Config!$A$5:$E$9, 3, FALSE), 210), ROUND((IFERROR(VLOOKUP(H300, Relic_Price_Config!$G$5:$N$100, 4, FALSE), 280) + N(L300) * IF(N(O300)&gt;1, N(O300), 1) * IFERROR(VLOOKUP(H300, Relic_Price_Config!$G$5:$N$100, 5, FALSE), 10) + ABS(N(R300)) * IFERROR(VLOOKUP(H300, Relic_Price_Config!$G$5:$N$100, 6, FALSE), 15) + IF(N(S300)&gt;1, (N(S300)-1)*10, 0)) * IFERROR(VLOOKUP(G300, Relic_Price_Config!$A$5:$E$9, 2, FALSE), 1), 0))) * 0.1) / 5, 0) * 5)</f>
        <v>0</v>
      </c>
      <c r="AB300" s="5">
        <f t="shared" si="4"/>
        <v>0</v>
      </c>
    </row>
    <row r="301" spans="1:28" ht="24" customHeight="1">
      <c r="A301" s="5" t="s">
        <v>1508</v>
      </c>
      <c r="B301" s="5" t="s">
        <v>1509</v>
      </c>
      <c r="C301" s="9" t="s">
        <v>1510</v>
      </c>
      <c r="D301" s="11" t="s">
        <v>1045</v>
      </c>
      <c r="E301" s="11" t="s">
        <v>1046</v>
      </c>
      <c r="F301" s="11" t="s">
        <v>33</v>
      </c>
      <c r="G301" s="11" t="s">
        <v>34</v>
      </c>
      <c r="H301" s="5" t="s">
        <v>350</v>
      </c>
      <c r="I301" s="5" t="s">
        <v>108</v>
      </c>
      <c r="J301" s="5">
        <v>0</v>
      </c>
      <c r="K301" s="5">
        <v>0</v>
      </c>
      <c r="L301" s="5">
        <v>4</v>
      </c>
      <c r="M301" s="5" t="s">
        <v>37</v>
      </c>
      <c r="N301" s="5">
        <v>1</v>
      </c>
      <c r="O301" s="5">
        <v>1</v>
      </c>
      <c r="P301" s="5">
        <v>0</v>
      </c>
      <c r="Q301" s="5" t="s">
        <v>94</v>
      </c>
      <c r="R301" s="5">
        <v>1</v>
      </c>
      <c r="S301" s="5">
        <v>1</v>
      </c>
      <c r="T301" s="5">
        <v>0</v>
      </c>
      <c r="U301" s="5"/>
      <c r="V301" s="5"/>
      <c r="W301" s="5"/>
      <c r="X301" s="5"/>
      <c r="Y301" s="6" t="s">
        <v>1511</v>
      </c>
      <c r="Z301" s="12" t="s">
        <v>1512</v>
      </c>
      <c r="AA301" s="5">
        <f>IF(OR(D301="Monster", E301="Basic"), 0, ROUND((MIN(IFERROR(VLOOKUP(G301, Relic_Price_Config!$A$5:$E$9, 4, FALSE), 350), MAX(IFERROR(VLOOKUP(G301, Relic_Price_Config!$A$5:$E$9, 3, FALSE), 210), ROUND((IFERROR(VLOOKUP(H301, Relic_Price_Config!$G$5:$N$100, 4, FALSE), 280) + N(L301) * IF(N(O301)&gt;1, N(O301), 1) * IFERROR(VLOOKUP(H301, Relic_Price_Config!$G$5:$N$100, 5, FALSE), 10) + ABS(N(R301)) * IFERROR(VLOOKUP(H301, Relic_Price_Config!$G$5:$N$100, 6, FALSE), 15) + IF(N(S301)&gt;1, (N(S301)-1)*10, 0)) * IFERROR(VLOOKUP(G301, Relic_Price_Config!$A$5:$E$9, 2, FALSE), 1), 0))) * 0.1) / 5, 0) * 5)</f>
        <v>0</v>
      </c>
      <c r="AB301" s="5">
        <f t="shared" si="4"/>
        <v>0</v>
      </c>
    </row>
    <row r="302" spans="1:28" ht="24" customHeight="1">
      <c r="A302" s="5" t="s">
        <v>1513</v>
      </c>
      <c r="B302" s="5" t="s">
        <v>1514</v>
      </c>
      <c r="C302" s="6" t="s">
        <v>1515</v>
      </c>
      <c r="D302" s="11" t="s">
        <v>1045</v>
      </c>
      <c r="E302" s="11" t="s">
        <v>1046</v>
      </c>
      <c r="F302" s="11" t="s">
        <v>43</v>
      </c>
      <c r="G302" s="11" t="s">
        <v>34</v>
      </c>
      <c r="H302" s="5" t="s">
        <v>44</v>
      </c>
      <c r="I302" s="5" t="s">
        <v>45</v>
      </c>
      <c r="J302" s="5">
        <v>0</v>
      </c>
      <c r="K302" s="5">
        <v>0</v>
      </c>
      <c r="L302" s="5">
        <v>5</v>
      </c>
      <c r="M302" s="5" t="s">
        <v>46</v>
      </c>
      <c r="N302" s="5">
        <v>1</v>
      </c>
      <c r="O302" s="5">
        <v>1</v>
      </c>
      <c r="P302" s="5">
        <v>0</v>
      </c>
      <c r="Q302" s="5" t="s">
        <v>38</v>
      </c>
      <c r="R302" s="5">
        <v>0</v>
      </c>
      <c r="S302" s="5">
        <v>0</v>
      </c>
      <c r="T302" s="5">
        <v>0</v>
      </c>
      <c r="U302" s="5"/>
      <c r="V302" s="5"/>
      <c r="W302" s="5"/>
      <c r="X302" s="5"/>
      <c r="Y302" s="6" t="s">
        <v>1516</v>
      </c>
      <c r="Z302" s="12" t="s">
        <v>1512</v>
      </c>
      <c r="AA302" s="5">
        <f>IF(OR(D302="Monster", E302="Basic"), 0, ROUND((MIN(IFERROR(VLOOKUP(G302, Relic_Price_Config!$A$5:$E$9, 4, FALSE), 350), MAX(IFERROR(VLOOKUP(G302, Relic_Price_Config!$A$5:$E$9, 3, FALSE), 210), ROUND((IFERROR(VLOOKUP(H302, Relic_Price_Config!$G$5:$N$100, 4, FALSE), 280) + N(L302) * IF(N(O302)&gt;1, N(O302), 1) * IFERROR(VLOOKUP(H302, Relic_Price_Config!$G$5:$N$100, 5, FALSE), 10) + ABS(N(R302)) * IFERROR(VLOOKUP(H302, Relic_Price_Config!$G$5:$N$100, 6, FALSE), 15) + IF(N(S302)&gt;1, (N(S302)-1)*10, 0)) * IFERROR(VLOOKUP(G302, Relic_Price_Config!$A$5:$E$9, 2, FALSE), 1), 0))) * 0.1) / 5, 0) * 5)</f>
        <v>0</v>
      </c>
      <c r="AB302" s="5">
        <f t="shared" si="4"/>
        <v>0</v>
      </c>
    </row>
    <row r="303" spans="1:28" ht="24" customHeight="1">
      <c r="A303" s="5" t="s">
        <v>1517</v>
      </c>
      <c r="B303" s="5" t="s">
        <v>1518</v>
      </c>
      <c r="C303" s="6" t="s">
        <v>1519</v>
      </c>
      <c r="D303" s="11" t="s">
        <v>1045</v>
      </c>
      <c r="E303" s="11" t="s">
        <v>1046</v>
      </c>
      <c r="F303" s="11" t="s">
        <v>51</v>
      </c>
      <c r="G303" s="11" t="s">
        <v>34</v>
      </c>
      <c r="H303" s="5" t="s">
        <v>1520</v>
      </c>
      <c r="I303" s="5" t="s">
        <v>45</v>
      </c>
      <c r="J303" s="5">
        <v>0</v>
      </c>
      <c r="K303" s="5">
        <v>0</v>
      </c>
      <c r="L303" s="5">
        <v>0</v>
      </c>
      <c r="M303" s="5" t="s">
        <v>46</v>
      </c>
      <c r="N303" s="5">
        <v>1</v>
      </c>
      <c r="O303" s="5">
        <v>1</v>
      </c>
      <c r="P303" s="5">
        <v>2</v>
      </c>
      <c r="Q303" s="5" t="s">
        <v>53</v>
      </c>
      <c r="R303" s="5">
        <v>1</v>
      </c>
      <c r="S303" s="5">
        <v>1</v>
      </c>
      <c r="T303" s="5">
        <v>0</v>
      </c>
      <c r="U303" s="5"/>
      <c r="V303" s="5"/>
      <c r="W303" s="5"/>
      <c r="X303" s="5"/>
      <c r="Y303" s="6" t="s">
        <v>1521</v>
      </c>
      <c r="Z303" s="12" t="s">
        <v>1512</v>
      </c>
      <c r="AA303" s="5">
        <f>IF(OR(D303="Monster", E303="Basic"), 0, ROUND((MIN(IFERROR(VLOOKUP(G303, Relic_Price_Config!$A$5:$E$9, 4, FALSE), 350), MAX(IFERROR(VLOOKUP(G303, Relic_Price_Config!$A$5:$E$9, 3, FALSE), 210), ROUND((IFERROR(VLOOKUP(H303, Relic_Price_Config!$G$5:$N$100, 4, FALSE), 280) + N(L303) * IF(N(O303)&gt;1, N(O303), 1) * IFERROR(VLOOKUP(H303, Relic_Price_Config!$G$5:$N$100, 5, FALSE), 10) + ABS(N(R303)) * IFERROR(VLOOKUP(H303, Relic_Price_Config!$G$5:$N$100, 6, FALSE), 15) + IF(N(S303)&gt;1, (N(S303)-1)*10, 0)) * IFERROR(VLOOKUP(G303, Relic_Price_Config!$A$5:$E$9, 2, FALSE), 1), 0))) * 0.1) / 5, 0) * 5)</f>
        <v>0</v>
      </c>
      <c r="AB303" s="5">
        <f t="shared" si="4"/>
        <v>0</v>
      </c>
    </row>
    <row r="304" spans="1:28" ht="24" customHeight="1">
      <c r="A304" s="5" t="s">
        <v>1522</v>
      </c>
      <c r="B304" s="5" t="s">
        <v>1523</v>
      </c>
      <c r="C304" s="64" t="s">
        <v>1524</v>
      </c>
      <c r="D304" s="11" t="s">
        <v>1045</v>
      </c>
      <c r="E304" s="11" t="s">
        <v>1046</v>
      </c>
      <c r="F304" s="11" t="s">
        <v>33</v>
      </c>
      <c r="G304" s="11" t="s">
        <v>34</v>
      </c>
      <c r="H304" s="5" t="s">
        <v>474</v>
      </c>
      <c r="I304" s="5" t="s">
        <v>108</v>
      </c>
      <c r="J304" s="5">
        <v>0</v>
      </c>
      <c r="K304" s="5">
        <v>0</v>
      </c>
      <c r="L304" s="5">
        <v>4</v>
      </c>
      <c r="M304" s="5" t="s">
        <v>37</v>
      </c>
      <c r="N304" s="5">
        <v>1</v>
      </c>
      <c r="O304" s="5">
        <v>1</v>
      </c>
      <c r="P304" s="5">
        <v>3</v>
      </c>
      <c r="Q304" s="5" t="s">
        <v>38</v>
      </c>
      <c r="R304" s="5">
        <v>0</v>
      </c>
      <c r="S304" s="5">
        <v>0</v>
      </c>
      <c r="T304" s="5">
        <v>0</v>
      </c>
      <c r="U304" s="5"/>
      <c r="V304" s="5"/>
      <c r="W304" s="5"/>
      <c r="X304" s="5"/>
      <c r="Y304" s="6" t="s">
        <v>1525</v>
      </c>
      <c r="Z304" s="12" t="s">
        <v>1526</v>
      </c>
      <c r="AA304" s="5">
        <f>IF(OR(D304="Monster", E304="Basic"), 0, ROUND((MIN(IFERROR(VLOOKUP(G304, Relic_Price_Config!$A$5:$E$9, 4, FALSE), 350), MAX(IFERROR(VLOOKUP(G304, Relic_Price_Config!$A$5:$E$9, 3, FALSE), 210), ROUND((IFERROR(VLOOKUP(H304, Relic_Price_Config!$G$5:$N$100, 4, FALSE), 280) + N(L304) * IF(N(O304)&gt;1, N(O304), 1) * IFERROR(VLOOKUP(H304, Relic_Price_Config!$G$5:$N$100, 5, FALSE), 10) + ABS(N(R304)) * IFERROR(VLOOKUP(H304, Relic_Price_Config!$G$5:$N$100, 6, FALSE), 15) + IF(N(S304)&gt;1, (N(S304)-1)*10, 0)) * IFERROR(VLOOKUP(G304, Relic_Price_Config!$A$5:$E$9, 2, FALSE), 1), 0))) * 0.1) / 5, 0) * 5)</f>
        <v>0</v>
      </c>
      <c r="AB304" s="5">
        <f t="shared" si="4"/>
        <v>0</v>
      </c>
    </row>
    <row r="305" spans="1:28" ht="24" customHeight="1">
      <c r="A305" s="5" t="s">
        <v>1527</v>
      </c>
      <c r="B305" s="5" t="s">
        <v>1528</v>
      </c>
      <c r="C305" s="64" t="s">
        <v>1529</v>
      </c>
      <c r="D305" s="11" t="s">
        <v>1045</v>
      </c>
      <c r="E305" s="11" t="s">
        <v>1046</v>
      </c>
      <c r="F305" s="11" t="s">
        <v>51</v>
      </c>
      <c r="G305" s="11" t="s">
        <v>34</v>
      </c>
      <c r="H305" s="5" t="s">
        <v>309</v>
      </c>
      <c r="I305" s="5" t="s">
        <v>108</v>
      </c>
      <c r="J305" s="5">
        <v>0</v>
      </c>
      <c r="K305" s="5">
        <v>0</v>
      </c>
      <c r="L305" s="5">
        <v>4</v>
      </c>
      <c r="M305" s="5" t="s">
        <v>37</v>
      </c>
      <c r="N305" s="5">
        <v>1</v>
      </c>
      <c r="O305" s="5">
        <v>1</v>
      </c>
      <c r="P305" s="5">
        <v>0</v>
      </c>
      <c r="Q305" s="5" t="s">
        <v>130</v>
      </c>
      <c r="R305" s="5">
        <v>1</v>
      </c>
      <c r="S305" s="5">
        <v>1</v>
      </c>
      <c r="T305" s="5">
        <v>0</v>
      </c>
      <c r="U305" s="5"/>
      <c r="V305" s="5"/>
      <c r="W305" s="5"/>
      <c r="X305" s="5"/>
      <c r="Y305" s="6" t="s">
        <v>1530</v>
      </c>
      <c r="Z305" s="12" t="s">
        <v>1531</v>
      </c>
      <c r="AA305" s="5">
        <f>IF(OR(D305="Monster", E305="Basic"), 0, ROUND((MIN(IFERROR(VLOOKUP(G305, Relic_Price_Config!$A$5:$E$9, 4, FALSE), 350), MAX(IFERROR(VLOOKUP(G305, Relic_Price_Config!$A$5:$E$9, 3, FALSE), 210), ROUND((IFERROR(VLOOKUP(H305, Relic_Price_Config!$G$5:$N$100, 4, FALSE), 280) + N(L305) * IF(N(O305)&gt;1, N(O305), 1) * IFERROR(VLOOKUP(H305, Relic_Price_Config!$G$5:$N$100, 5, FALSE), 10) + ABS(N(R305)) * IFERROR(VLOOKUP(H305, Relic_Price_Config!$G$5:$N$100, 6, FALSE), 15) + IF(N(S305)&gt;1, (N(S305)-1)*10, 0)) * IFERROR(VLOOKUP(G305, Relic_Price_Config!$A$5:$E$9, 2, FALSE), 1), 0))) * 0.1) / 5, 0) * 5)</f>
        <v>0</v>
      </c>
      <c r="AB305" s="5">
        <f t="shared" si="4"/>
        <v>0</v>
      </c>
    </row>
    <row r="306" spans="1:28" ht="24" customHeight="1">
      <c r="A306" s="5" t="s">
        <v>1532</v>
      </c>
      <c r="B306" s="5" t="s">
        <v>1533</v>
      </c>
      <c r="C306" s="64" t="s">
        <v>1534</v>
      </c>
      <c r="D306" s="11" t="s">
        <v>1045</v>
      </c>
      <c r="E306" s="11" t="s">
        <v>1046</v>
      </c>
      <c r="F306" s="11" t="s">
        <v>33</v>
      </c>
      <c r="G306" s="11" t="s">
        <v>34</v>
      </c>
      <c r="H306" s="5" t="s">
        <v>309</v>
      </c>
      <c r="I306" s="5" t="s">
        <v>108</v>
      </c>
      <c r="J306" s="5">
        <v>0</v>
      </c>
      <c r="K306" s="5">
        <v>0</v>
      </c>
      <c r="L306" s="5">
        <v>7</v>
      </c>
      <c r="M306" s="5" t="s">
        <v>37</v>
      </c>
      <c r="N306" s="5">
        <v>1</v>
      </c>
      <c r="O306" s="5">
        <v>1</v>
      </c>
      <c r="P306" s="5">
        <v>0</v>
      </c>
      <c r="Q306" s="5" t="s">
        <v>130</v>
      </c>
      <c r="R306" s="5">
        <v>1</v>
      </c>
      <c r="S306" s="5">
        <v>1</v>
      </c>
      <c r="T306" s="5">
        <v>0</v>
      </c>
      <c r="U306" s="5"/>
      <c r="V306" s="5"/>
      <c r="W306" s="5"/>
      <c r="X306" s="5"/>
      <c r="Y306" s="6" t="s">
        <v>1535</v>
      </c>
      <c r="Z306" s="12" t="s">
        <v>1536</v>
      </c>
      <c r="AA306" s="5">
        <f>IF(OR(D306="Monster", E306="Basic"), 0, ROUND((MIN(IFERROR(VLOOKUP(G306, Relic_Price_Config!$A$5:$E$9, 4, FALSE), 350), MAX(IFERROR(VLOOKUP(G306, Relic_Price_Config!$A$5:$E$9, 3, FALSE), 210), ROUND((IFERROR(VLOOKUP(H306, Relic_Price_Config!$G$5:$N$100, 4, FALSE), 280) + N(L306) * IF(N(O306)&gt;1, N(O306), 1) * IFERROR(VLOOKUP(H306, Relic_Price_Config!$G$5:$N$100, 5, FALSE), 10) + ABS(N(R306)) * IFERROR(VLOOKUP(H306, Relic_Price_Config!$G$5:$N$100, 6, FALSE), 15) + IF(N(S306)&gt;1, (N(S306)-1)*10, 0)) * IFERROR(VLOOKUP(G306, Relic_Price_Config!$A$5:$E$9, 2, FALSE), 1), 0))) * 0.1) / 5, 0) * 5)</f>
        <v>0</v>
      </c>
      <c r="AB306" s="5">
        <f t="shared" si="4"/>
        <v>0</v>
      </c>
    </row>
    <row r="307" spans="1:28" ht="24" customHeight="1">
      <c r="A307" s="5" t="s">
        <v>1537</v>
      </c>
      <c r="B307" s="5" t="s">
        <v>1538</v>
      </c>
      <c r="C307" s="6" t="s">
        <v>1539</v>
      </c>
      <c r="D307" s="11" t="s">
        <v>1045</v>
      </c>
      <c r="E307" s="11" t="s">
        <v>1046</v>
      </c>
      <c r="F307" s="11" t="s">
        <v>51</v>
      </c>
      <c r="G307" s="11" t="s">
        <v>34</v>
      </c>
      <c r="H307" s="5" t="s">
        <v>1076</v>
      </c>
      <c r="I307" s="5" t="s">
        <v>45</v>
      </c>
      <c r="J307" s="5">
        <v>0</v>
      </c>
      <c r="K307" s="5">
        <v>0</v>
      </c>
      <c r="L307" s="5">
        <v>0</v>
      </c>
      <c r="M307" s="5" t="s">
        <v>46</v>
      </c>
      <c r="N307" s="5">
        <v>1</v>
      </c>
      <c r="O307" s="5">
        <v>1</v>
      </c>
      <c r="P307" s="5">
        <v>0</v>
      </c>
      <c r="Q307" s="5" t="s">
        <v>322</v>
      </c>
      <c r="R307" s="5">
        <v>1</v>
      </c>
      <c r="S307" s="5">
        <v>1</v>
      </c>
      <c r="T307" s="5">
        <v>0</v>
      </c>
      <c r="U307" s="5"/>
      <c r="V307" s="5"/>
      <c r="W307" s="5"/>
      <c r="X307" s="5"/>
      <c r="Y307" s="6" t="s">
        <v>1540</v>
      </c>
      <c r="Z307" s="12" t="s">
        <v>1536</v>
      </c>
      <c r="AA307" s="5">
        <f>IF(OR(D307="Monster", E307="Basic"), 0, ROUND((MIN(IFERROR(VLOOKUP(G307, Relic_Price_Config!$A$5:$E$9, 4, FALSE), 350), MAX(IFERROR(VLOOKUP(G307, Relic_Price_Config!$A$5:$E$9, 3, FALSE), 210), ROUND((IFERROR(VLOOKUP(H307, Relic_Price_Config!$G$5:$N$100, 4, FALSE), 280) + N(L307) * IF(N(O307)&gt;1, N(O307), 1) * IFERROR(VLOOKUP(H307, Relic_Price_Config!$G$5:$N$100, 5, FALSE), 10) + ABS(N(R307)) * IFERROR(VLOOKUP(H307, Relic_Price_Config!$G$5:$N$100, 6, FALSE), 15) + IF(N(S307)&gt;1, (N(S307)-1)*10, 0)) * IFERROR(VLOOKUP(G307, Relic_Price_Config!$A$5:$E$9, 2, FALSE), 1), 0))) * 0.1) / 5, 0) * 5)</f>
        <v>0</v>
      </c>
      <c r="AB307" s="5">
        <f t="shared" si="4"/>
        <v>0</v>
      </c>
    </row>
    <row r="308" spans="1:28" ht="24" customHeight="1">
      <c r="A308" s="5" t="s">
        <v>1541</v>
      </c>
      <c r="B308" s="5" t="s">
        <v>1542</v>
      </c>
      <c r="C308" s="6" t="s">
        <v>1543</v>
      </c>
      <c r="D308" s="11" t="s">
        <v>1045</v>
      </c>
      <c r="E308" s="11" t="s">
        <v>1046</v>
      </c>
      <c r="F308" s="11" t="s">
        <v>33</v>
      </c>
      <c r="G308" s="11" t="s">
        <v>34</v>
      </c>
      <c r="H308" s="5" t="s">
        <v>309</v>
      </c>
      <c r="I308" s="5" t="s">
        <v>108</v>
      </c>
      <c r="J308" s="5">
        <v>0</v>
      </c>
      <c r="K308" s="5">
        <v>0</v>
      </c>
      <c r="L308" s="5">
        <v>8</v>
      </c>
      <c r="M308" s="5" t="s">
        <v>37</v>
      </c>
      <c r="N308" s="5">
        <v>1</v>
      </c>
      <c r="O308" s="5">
        <v>1</v>
      </c>
      <c r="P308" s="5">
        <v>0</v>
      </c>
      <c r="Q308" s="5" t="s">
        <v>130</v>
      </c>
      <c r="R308" s="5">
        <v>1</v>
      </c>
      <c r="S308" s="5">
        <v>1</v>
      </c>
      <c r="T308" s="5">
        <v>0</v>
      </c>
      <c r="U308" s="5"/>
      <c r="V308" s="5"/>
      <c r="W308" s="5"/>
      <c r="X308" s="5"/>
      <c r="Y308" s="6" t="s">
        <v>1544</v>
      </c>
      <c r="Z308" s="12" t="s">
        <v>1545</v>
      </c>
      <c r="AA308" s="5">
        <f>IF(OR(D308="Monster", E308="Basic"), 0, ROUND((MIN(IFERROR(VLOOKUP(G308, Relic_Price_Config!$A$5:$E$9, 4, FALSE), 350), MAX(IFERROR(VLOOKUP(G308, Relic_Price_Config!$A$5:$E$9, 3, FALSE), 210), ROUND((IFERROR(VLOOKUP(H308, Relic_Price_Config!$G$5:$N$100, 4, FALSE), 280) + N(L308) * IF(N(O308)&gt;1, N(O308), 1) * IFERROR(VLOOKUP(H308, Relic_Price_Config!$G$5:$N$100, 5, FALSE), 10) + ABS(N(R308)) * IFERROR(VLOOKUP(H308, Relic_Price_Config!$G$5:$N$100, 6, FALSE), 15) + IF(N(S308)&gt;1, (N(S308)-1)*10, 0)) * IFERROR(VLOOKUP(G308, Relic_Price_Config!$A$5:$E$9, 2, FALSE), 1), 0))) * 0.1) / 5, 0) * 5)</f>
        <v>0</v>
      </c>
      <c r="AB308" s="5">
        <f t="shared" si="4"/>
        <v>0</v>
      </c>
    </row>
    <row r="309" spans="1:28">
      <c r="A309" s="5" t="s">
        <v>1546</v>
      </c>
      <c r="B309" s="5" t="s">
        <v>1547</v>
      </c>
      <c r="C309" s="6" t="s">
        <v>1548</v>
      </c>
      <c r="D309" s="11" t="s">
        <v>1045</v>
      </c>
      <c r="E309" s="11" t="s">
        <v>1046</v>
      </c>
      <c r="F309" s="11" t="s">
        <v>43</v>
      </c>
      <c r="G309" s="11" t="s">
        <v>34</v>
      </c>
      <c r="H309" s="5" t="s">
        <v>44</v>
      </c>
      <c r="I309" s="5" t="s">
        <v>45</v>
      </c>
      <c r="J309" s="5">
        <v>0</v>
      </c>
      <c r="K309" s="5">
        <v>0</v>
      </c>
      <c r="L309" s="5">
        <v>7</v>
      </c>
      <c r="M309" s="5" t="s">
        <v>46</v>
      </c>
      <c r="N309" s="5">
        <v>1</v>
      </c>
      <c r="O309" s="5">
        <v>1</v>
      </c>
      <c r="P309" s="5">
        <v>0</v>
      </c>
      <c r="Q309" s="5" t="s">
        <v>38</v>
      </c>
      <c r="R309" s="5">
        <v>0</v>
      </c>
      <c r="S309" s="5">
        <v>0</v>
      </c>
      <c r="T309" s="5">
        <v>0</v>
      </c>
      <c r="U309" s="5"/>
      <c r="V309" s="5"/>
      <c r="W309" s="5"/>
      <c r="X309" s="5"/>
      <c r="Y309" s="6" t="s">
        <v>1549</v>
      </c>
      <c r="Z309" s="12" t="s">
        <v>1545</v>
      </c>
      <c r="AA309" s="5">
        <f>IF(OR(D309="Monster", E309="Basic"), 0, ROUND((MIN(IFERROR(VLOOKUP(G309, Relic_Price_Config!$A$5:$E$9, 4, FALSE), 350), MAX(IFERROR(VLOOKUP(G309, Relic_Price_Config!$A$5:$E$9, 3, FALSE), 210), ROUND((IFERROR(VLOOKUP(H309, Relic_Price_Config!$G$5:$N$100, 4, FALSE), 280) + N(L309) * IF(N(O309)&gt;1, N(O309), 1) * IFERROR(VLOOKUP(H309, Relic_Price_Config!$G$5:$N$100, 5, FALSE), 10) + ABS(N(R309)) * IFERROR(VLOOKUP(H309, Relic_Price_Config!$G$5:$N$100, 6, FALSE), 15) + IF(N(S309)&gt;1, (N(S309)-1)*10, 0)) * IFERROR(VLOOKUP(G309, Relic_Price_Config!$A$5:$E$9, 2, FALSE), 1), 0))) * 0.1) / 5, 0) * 5)</f>
        <v>0</v>
      </c>
      <c r="AB309" s="5">
        <f t="shared" si="4"/>
        <v>0</v>
      </c>
    </row>
    <row r="310" spans="1:28" ht="27.6">
      <c r="A310" s="5" t="s">
        <v>1550</v>
      </c>
      <c r="B310" s="5" t="s">
        <v>1551</v>
      </c>
      <c r="C310" s="6" t="s">
        <v>1552</v>
      </c>
      <c r="D310" s="11" t="s">
        <v>1045</v>
      </c>
      <c r="E310" s="11" t="s">
        <v>1046</v>
      </c>
      <c r="F310" s="11" t="s">
        <v>51</v>
      </c>
      <c r="G310" s="11" t="s">
        <v>34</v>
      </c>
      <c r="H310" s="5" t="s">
        <v>70</v>
      </c>
      <c r="I310" s="5" t="s">
        <v>45</v>
      </c>
      <c r="J310" s="5">
        <v>0</v>
      </c>
      <c r="K310" s="5">
        <v>0</v>
      </c>
      <c r="L310" s="5">
        <v>0</v>
      </c>
      <c r="M310" s="5" t="s">
        <v>38</v>
      </c>
      <c r="N310" s="5">
        <v>0</v>
      </c>
      <c r="O310" s="5">
        <v>0</v>
      </c>
      <c r="P310" s="5">
        <v>0</v>
      </c>
      <c r="Q310" s="5" t="s">
        <v>71</v>
      </c>
      <c r="R310" s="5">
        <v>2</v>
      </c>
      <c r="S310" s="5">
        <v>1</v>
      </c>
      <c r="T310" s="5">
        <v>0</v>
      </c>
      <c r="U310" s="5"/>
      <c r="V310" s="5"/>
      <c r="W310" s="5"/>
      <c r="X310" s="5"/>
      <c r="Y310" s="9" t="s">
        <v>1553</v>
      </c>
      <c r="Z310" s="12" t="s">
        <v>1545</v>
      </c>
      <c r="AA310" s="5">
        <f>IF(OR(D310="Monster", E310="Basic"), 0, ROUND((MIN(IFERROR(VLOOKUP(G310, Relic_Price_Config!$A$5:$E$9, 4, FALSE), 350), MAX(IFERROR(VLOOKUP(G310, Relic_Price_Config!$A$5:$E$9, 3, FALSE), 210), ROUND((IFERROR(VLOOKUP(H310, Relic_Price_Config!$G$5:$N$100, 4, FALSE), 280) + N(L310) * IF(N(O310)&gt;1, N(O310), 1) * IFERROR(VLOOKUP(H310, Relic_Price_Config!$G$5:$N$100, 5, FALSE), 10) + ABS(N(R310)) * IFERROR(VLOOKUP(H310, Relic_Price_Config!$G$5:$N$100, 6, FALSE), 15) + IF(N(S310)&gt;1, (N(S310)-1)*10, 0)) * IFERROR(VLOOKUP(G310, Relic_Price_Config!$A$5:$E$9, 2, FALSE), 1), 0))) * 0.1) / 5, 0) * 5)</f>
        <v>0</v>
      </c>
      <c r="AB310" s="5">
        <f t="shared" si="4"/>
        <v>0</v>
      </c>
    </row>
    <row r="311" spans="1:28" ht="24" customHeight="1">
      <c r="A311" s="5" t="s">
        <v>1554</v>
      </c>
      <c r="B311" s="5" t="s">
        <v>1555</v>
      </c>
      <c r="C311" s="6" t="s">
        <v>1556</v>
      </c>
      <c r="D311" s="11" t="s">
        <v>1045</v>
      </c>
      <c r="E311" s="11" t="s">
        <v>1046</v>
      </c>
      <c r="F311" s="11" t="s">
        <v>33</v>
      </c>
      <c r="G311" s="11" t="s">
        <v>34</v>
      </c>
      <c r="H311" s="5" t="s">
        <v>356</v>
      </c>
      <c r="I311" s="5" t="s">
        <v>108</v>
      </c>
      <c r="J311" s="5">
        <v>0</v>
      </c>
      <c r="K311" s="5">
        <v>0</v>
      </c>
      <c r="L311" s="5">
        <v>7</v>
      </c>
      <c r="M311" s="5" t="s">
        <v>37</v>
      </c>
      <c r="N311" s="5">
        <v>1</v>
      </c>
      <c r="O311" s="5">
        <v>1</v>
      </c>
      <c r="P311" s="5">
        <v>0</v>
      </c>
      <c r="Q311" s="5" t="s">
        <v>357</v>
      </c>
      <c r="R311" s="5">
        <v>1</v>
      </c>
      <c r="S311" s="5">
        <v>1</v>
      </c>
      <c r="T311" s="5">
        <v>0</v>
      </c>
      <c r="U311" s="5"/>
      <c r="V311" s="5"/>
      <c r="W311" s="5"/>
      <c r="X311" s="5"/>
      <c r="Y311" s="6" t="s">
        <v>1557</v>
      </c>
      <c r="Z311" s="12" t="s">
        <v>1558</v>
      </c>
      <c r="AA311" s="5">
        <f>IF(OR(D311="Monster", E311="Basic"), 0, ROUND((MIN(IFERROR(VLOOKUP(G311, Relic_Price_Config!$A$5:$E$9, 4, FALSE), 350), MAX(IFERROR(VLOOKUP(G311, Relic_Price_Config!$A$5:$E$9, 3, FALSE), 210), ROUND((IFERROR(VLOOKUP(H311, Relic_Price_Config!$G$5:$N$100, 4, FALSE), 280) + N(L311) * IF(N(O311)&gt;1, N(O311), 1) * IFERROR(VLOOKUP(H311, Relic_Price_Config!$G$5:$N$100, 5, FALSE), 10) + ABS(N(R311)) * IFERROR(VLOOKUP(H311, Relic_Price_Config!$G$5:$N$100, 6, FALSE), 15) + IF(N(S311)&gt;1, (N(S311)-1)*10, 0)) * IFERROR(VLOOKUP(G311, Relic_Price_Config!$A$5:$E$9, 2, FALSE), 1), 0))) * 0.1) / 5, 0) * 5)</f>
        <v>0</v>
      </c>
      <c r="AB311" s="5">
        <f t="shared" si="4"/>
        <v>0</v>
      </c>
    </row>
    <row r="312" spans="1:28">
      <c r="A312" s="5" t="s">
        <v>1559</v>
      </c>
      <c r="B312" s="5" t="s">
        <v>1560</v>
      </c>
      <c r="C312" s="6" t="s">
        <v>1561</v>
      </c>
      <c r="D312" s="11" t="s">
        <v>1045</v>
      </c>
      <c r="E312" s="11" t="s">
        <v>1046</v>
      </c>
      <c r="F312" s="11" t="s">
        <v>43</v>
      </c>
      <c r="G312" s="11" t="s">
        <v>34</v>
      </c>
      <c r="H312" s="5" t="s">
        <v>44</v>
      </c>
      <c r="I312" s="5" t="s">
        <v>45</v>
      </c>
      <c r="J312" s="5">
        <v>0</v>
      </c>
      <c r="K312" s="5">
        <v>0</v>
      </c>
      <c r="L312" s="5">
        <v>7</v>
      </c>
      <c r="M312" s="5" t="s">
        <v>46</v>
      </c>
      <c r="N312" s="5">
        <v>1</v>
      </c>
      <c r="O312" s="5">
        <v>1</v>
      </c>
      <c r="P312" s="5">
        <v>0</v>
      </c>
      <c r="Q312" s="5" t="s">
        <v>38</v>
      </c>
      <c r="R312" s="5">
        <v>0</v>
      </c>
      <c r="S312" s="5">
        <v>0</v>
      </c>
      <c r="T312" s="5">
        <v>0</v>
      </c>
      <c r="U312" s="5"/>
      <c r="V312" s="5"/>
      <c r="W312" s="5"/>
      <c r="X312" s="5"/>
      <c r="Y312" s="6" t="s">
        <v>1562</v>
      </c>
      <c r="Z312" s="12" t="s">
        <v>1558</v>
      </c>
      <c r="AA312" s="5">
        <f>IF(OR(D312="Monster", E312="Basic"), 0, ROUND((MIN(IFERROR(VLOOKUP(G312, Relic_Price_Config!$A$5:$E$9, 4, FALSE), 350), MAX(IFERROR(VLOOKUP(G312, Relic_Price_Config!$A$5:$E$9, 3, FALSE), 210), ROUND((IFERROR(VLOOKUP(H312, Relic_Price_Config!$G$5:$N$100, 4, FALSE), 280) + N(L312) * IF(N(O312)&gt;1, N(O312), 1) * IFERROR(VLOOKUP(H312, Relic_Price_Config!$G$5:$N$100, 5, FALSE), 10) + ABS(N(R312)) * IFERROR(VLOOKUP(H312, Relic_Price_Config!$G$5:$N$100, 6, FALSE), 15) + IF(N(S312)&gt;1, (N(S312)-1)*10, 0)) * IFERROR(VLOOKUP(G312, Relic_Price_Config!$A$5:$E$9, 2, FALSE), 1), 0))) * 0.1) / 5, 0) * 5)</f>
        <v>0</v>
      </c>
      <c r="AB312" s="5">
        <f t="shared" si="4"/>
        <v>0</v>
      </c>
    </row>
    <row r="313" spans="1:28" ht="24" customHeight="1">
      <c r="A313" s="5" t="s">
        <v>1563</v>
      </c>
      <c r="B313" s="5" t="s">
        <v>1564</v>
      </c>
      <c r="C313" s="6" t="s">
        <v>1565</v>
      </c>
      <c r="D313" s="11" t="s">
        <v>1045</v>
      </c>
      <c r="E313" s="11" t="s">
        <v>1046</v>
      </c>
      <c r="F313" s="11" t="s">
        <v>51</v>
      </c>
      <c r="G313" s="11" t="s">
        <v>34</v>
      </c>
      <c r="H313" s="5" t="s">
        <v>1091</v>
      </c>
      <c r="I313" s="5" t="s">
        <v>108</v>
      </c>
      <c r="J313" s="5">
        <v>0</v>
      </c>
      <c r="K313" s="5">
        <v>0</v>
      </c>
      <c r="L313" s="5">
        <v>0</v>
      </c>
      <c r="M313" s="5" t="s">
        <v>38</v>
      </c>
      <c r="N313" s="5">
        <v>0</v>
      </c>
      <c r="O313" s="5">
        <v>0</v>
      </c>
      <c r="P313" s="5">
        <v>0</v>
      </c>
      <c r="Q313" s="5" t="s">
        <v>357</v>
      </c>
      <c r="R313" s="5">
        <v>1</v>
      </c>
      <c r="S313" s="5">
        <v>1</v>
      </c>
      <c r="T313" s="5">
        <v>0</v>
      </c>
      <c r="U313" s="5"/>
      <c r="V313" s="5"/>
      <c r="W313" s="5"/>
      <c r="X313" s="5"/>
      <c r="Y313" s="6" t="s">
        <v>1566</v>
      </c>
      <c r="Z313" s="12" t="s">
        <v>1558</v>
      </c>
      <c r="AA313" s="5">
        <f>IF(OR(D313="Monster", E313="Basic"), 0, ROUND((MIN(IFERROR(VLOOKUP(G313, Relic_Price_Config!$A$5:$E$9, 4, FALSE), 350), MAX(IFERROR(VLOOKUP(G313, Relic_Price_Config!$A$5:$E$9, 3, FALSE), 210), ROUND((IFERROR(VLOOKUP(H313, Relic_Price_Config!$G$5:$N$100, 4, FALSE), 280) + N(L313) * IF(N(O313)&gt;1, N(O313), 1) * IFERROR(VLOOKUP(H313, Relic_Price_Config!$G$5:$N$100, 5, FALSE), 10) + ABS(N(R313)) * IFERROR(VLOOKUP(H313, Relic_Price_Config!$G$5:$N$100, 6, FALSE), 15) + IF(N(S313)&gt;1, (N(S313)-1)*10, 0)) * IFERROR(VLOOKUP(G313, Relic_Price_Config!$A$5:$E$9, 2, FALSE), 1), 0))) * 0.1) / 5, 0) * 5)</f>
        <v>0</v>
      </c>
      <c r="AB313" s="5">
        <f t="shared" si="4"/>
        <v>0</v>
      </c>
    </row>
    <row r="314" spans="1:28">
      <c r="A314" s="5" t="s">
        <v>1567</v>
      </c>
      <c r="B314" s="5" t="s">
        <v>1568</v>
      </c>
      <c r="C314" s="64" t="s">
        <v>1569</v>
      </c>
      <c r="D314" s="11" t="s">
        <v>1045</v>
      </c>
      <c r="E314" s="11" t="s">
        <v>1046</v>
      </c>
      <c r="F314" s="11" t="s">
        <v>33</v>
      </c>
      <c r="G314" s="11" t="s">
        <v>34</v>
      </c>
      <c r="H314" s="5" t="s">
        <v>652</v>
      </c>
      <c r="I314" s="5" t="s">
        <v>108</v>
      </c>
      <c r="J314" s="5">
        <v>0</v>
      </c>
      <c r="K314" s="5">
        <v>0</v>
      </c>
      <c r="L314" s="5">
        <v>9</v>
      </c>
      <c r="M314" s="5" t="s">
        <v>37</v>
      </c>
      <c r="N314" s="5">
        <v>1</v>
      </c>
      <c r="O314" s="5">
        <v>1</v>
      </c>
      <c r="P314" s="5">
        <v>0</v>
      </c>
      <c r="Q314" s="5" t="s">
        <v>38</v>
      </c>
      <c r="R314" s="5">
        <v>0</v>
      </c>
      <c r="S314" s="5">
        <v>0</v>
      </c>
      <c r="T314" s="5">
        <v>0</v>
      </c>
      <c r="U314" s="5"/>
      <c r="V314" s="5"/>
      <c r="W314" s="5"/>
      <c r="X314" s="5"/>
      <c r="Y314" s="6" t="s">
        <v>1570</v>
      </c>
      <c r="Z314" s="12" t="s">
        <v>1571</v>
      </c>
      <c r="AA314" s="5">
        <f>IF(OR(D314="Monster", E314="Basic"), 0, ROUND((MIN(IFERROR(VLOOKUP(G314, Relic_Price_Config!$A$5:$E$9, 4, FALSE), 350), MAX(IFERROR(VLOOKUP(G314, Relic_Price_Config!$A$5:$E$9, 3, FALSE), 210), ROUND((IFERROR(VLOOKUP(H314, Relic_Price_Config!$G$5:$N$100, 4, FALSE), 280) + N(L314) * IF(N(O314)&gt;1, N(O314), 1) * IFERROR(VLOOKUP(H314, Relic_Price_Config!$G$5:$N$100, 5, FALSE), 10) + ABS(N(R314)) * IFERROR(VLOOKUP(H314, Relic_Price_Config!$G$5:$N$100, 6, FALSE), 15) + IF(N(S314)&gt;1, (N(S314)-1)*10, 0)) * IFERROR(VLOOKUP(G314, Relic_Price_Config!$A$5:$E$9, 2, FALSE), 1), 0))) * 0.1) / 5, 0) * 5)</f>
        <v>0</v>
      </c>
      <c r="AB314" s="5">
        <f t="shared" si="4"/>
        <v>0</v>
      </c>
    </row>
    <row r="315" spans="1:28">
      <c r="A315" s="5" t="s">
        <v>1572</v>
      </c>
      <c r="B315" s="5" t="s">
        <v>1573</v>
      </c>
      <c r="C315" s="6" t="s">
        <v>1574</v>
      </c>
      <c r="D315" s="11" t="s">
        <v>1045</v>
      </c>
      <c r="E315" s="11" t="s">
        <v>1046</v>
      </c>
      <c r="F315" s="11" t="s">
        <v>43</v>
      </c>
      <c r="G315" s="11" t="s">
        <v>34</v>
      </c>
      <c r="H315" s="5" t="s">
        <v>44</v>
      </c>
      <c r="I315" s="5" t="s">
        <v>45</v>
      </c>
      <c r="J315" s="5">
        <v>0</v>
      </c>
      <c r="K315" s="5">
        <v>0</v>
      </c>
      <c r="L315" s="5">
        <v>8</v>
      </c>
      <c r="M315" s="5" t="s">
        <v>46</v>
      </c>
      <c r="N315" s="5">
        <v>1</v>
      </c>
      <c r="O315" s="5">
        <v>1</v>
      </c>
      <c r="P315" s="5">
        <v>0</v>
      </c>
      <c r="Q315" s="5" t="s">
        <v>38</v>
      </c>
      <c r="R315" s="5">
        <v>0</v>
      </c>
      <c r="S315" s="5">
        <v>0</v>
      </c>
      <c r="T315" s="5">
        <v>0</v>
      </c>
      <c r="U315" s="5"/>
      <c r="V315" s="5"/>
      <c r="W315" s="5"/>
      <c r="X315" s="5"/>
      <c r="Y315" s="6" t="s">
        <v>1575</v>
      </c>
      <c r="Z315" s="12" t="s">
        <v>1571</v>
      </c>
      <c r="AA315" s="5">
        <f>IF(OR(D315="Monster", E315="Basic"), 0, ROUND((MIN(IFERROR(VLOOKUP(G315, Relic_Price_Config!$A$5:$E$9, 4, FALSE), 350), MAX(IFERROR(VLOOKUP(G315, Relic_Price_Config!$A$5:$E$9, 3, FALSE), 210), ROUND((IFERROR(VLOOKUP(H315, Relic_Price_Config!$G$5:$N$100, 4, FALSE), 280) + N(L315) * IF(N(O315)&gt;1, N(O315), 1) * IFERROR(VLOOKUP(H315, Relic_Price_Config!$G$5:$N$100, 5, FALSE), 10) + ABS(N(R315)) * IFERROR(VLOOKUP(H315, Relic_Price_Config!$G$5:$N$100, 6, FALSE), 15) + IF(N(S315)&gt;1, (N(S315)-1)*10, 0)) * IFERROR(VLOOKUP(G315, Relic_Price_Config!$A$5:$E$9, 2, FALSE), 1), 0))) * 0.1) / 5, 0) * 5)</f>
        <v>0</v>
      </c>
      <c r="AB315" s="5">
        <f t="shared" si="4"/>
        <v>0</v>
      </c>
    </row>
    <row r="316" spans="1:28">
      <c r="A316" s="5" t="s">
        <v>1576</v>
      </c>
      <c r="B316" s="5" t="s">
        <v>1577</v>
      </c>
      <c r="C316" s="9" t="s">
        <v>1578</v>
      </c>
      <c r="D316" s="11" t="s">
        <v>1045</v>
      </c>
      <c r="E316" s="11" t="s">
        <v>1046</v>
      </c>
      <c r="F316" s="11" t="s">
        <v>51</v>
      </c>
      <c r="G316" s="11" t="s">
        <v>34</v>
      </c>
      <c r="H316" s="5" t="s">
        <v>1579</v>
      </c>
      <c r="I316" s="5" t="s">
        <v>45</v>
      </c>
      <c r="J316" s="5">
        <v>0</v>
      </c>
      <c r="K316" s="5">
        <v>0</v>
      </c>
      <c r="L316" s="5">
        <v>6</v>
      </c>
      <c r="M316" s="5" t="s">
        <v>46</v>
      </c>
      <c r="N316" s="5">
        <v>1</v>
      </c>
      <c r="O316" s="5">
        <v>1</v>
      </c>
      <c r="P316" s="5">
        <v>0</v>
      </c>
      <c r="Q316" s="5" t="s">
        <v>38</v>
      </c>
      <c r="R316" s="5">
        <v>0</v>
      </c>
      <c r="S316" s="5">
        <v>0</v>
      </c>
      <c r="T316" s="5">
        <v>0</v>
      </c>
      <c r="U316" s="5"/>
      <c r="V316" s="5"/>
      <c r="W316" s="5"/>
      <c r="X316" s="5"/>
      <c r="Y316" s="6" t="s">
        <v>1580</v>
      </c>
      <c r="Z316" s="12" t="s">
        <v>1571</v>
      </c>
      <c r="AA316" s="5">
        <f>IF(OR(D316="Monster", E316="Basic"), 0, ROUND((MIN(IFERROR(VLOOKUP(G316, Relic_Price_Config!$A$5:$E$9, 4, FALSE), 350), MAX(IFERROR(VLOOKUP(G316, Relic_Price_Config!$A$5:$E$9, 3, FALSE), 210), ROUND((IFERROR(VLOOKUP(H316, Relic_Price_Config!$G$5:$N$100, 4, FALSE), 280) + N(L316) * IF(N(O316)&gt;1, N(O316), 1) * IFERROR(VLOOKUP(H316, Relic_Price_Config!$G$5:$N$100, 5, FALSE), 10) + ABS(N(R316)) * IFERROR(VLOOKUP(H316, Relic_Price_Config!$G$5:$N$100, 6, FALSE), 15) + IF(N(S316)&gt;1, (N(S316)-1)*10, 0)) * IFERROR(VLOOKUP(G316, Relic_Price_Config!$A$5:$E$9, 2, FALSE), 1), 0))) * 0.1) / 5, 0) * 5)</f>
        <v>0</v>
      </c>
      <c r="AB316" s="5">
        <f t="shared" si="4"/>
        <v>0</v>
      </c>
    </row>
    <row r="317" spans="1:28" ht="24" customHeight="1">
      <c r="A317" s="5" t="s">
        <v>1581</v>
      </c>
      <c r="B317" s="5" t="s">
        <v>1582</v>
      </c>
      <c r="C317" s="6" t="s">
        <v>1583</v>
      </c>
      <c r="D317" s="11" t="s">
        <v>1045</v>
      </c>
      <c r="E317" s="11" t="s">
        <v>1046</v>
      </c>
      <c r="F317" s="11" t="s">
        <v>33</v>
      </c>
      <c r="G317" s="11" t="s">
        <v>34</v>
      </c>
      <c r="H317" s="5" t="s">
        <v>362</v>
      </c>
      <c r="I317" s="5" t="s">
        <v>108</v>
      </c>
      <c r="J317" s="5">
        <v>0</v>
      </c>
      <c r="K317" s="5">
        <v>0</v>
      </c>
      <c r="L317" s="5">
        <v>10</v>
      </c>
      <c r="M317" s="5" t="s">
        <v>37</v>
      </c>
      <c r="N317" s="5">
        <v>1</v>
      </c>
      <c r="O317" s="5">
        <v>1</v>
      </c>
      <c r="P317" s="5">
        <v>0</v>
      </c>
      <c r="Q317" s="5" t="s">
        <v>180</v>
      </c>
      <c r="R317" s="5">
        <v>2</v>
      </c>
      <c r="S317" s="5">
        <v>1</v>
      </c>
      <c r="T317" s="5">
        <v>0</v>
      </c>
      <c r="U317" s="5"/>
      <c r="V317" s="5"/>
      <c r="W317" s="5"/>
      <c r="X317" s="5"/>
      <c r="Y317" s="6" t="s">
        <v>1584</v>
      </c>
      <c r="Z317" s="12" t="s">
        <v>1585</v>
      </c>
      <c r="AA317" s="5">
        <f>IF(OR(D317="Monster", E317="Basic"), 0, ROUND((MIN(IFERROR(VLOOKUP(G317, Relic_Price_Config!$A$5:$E$9, 4, FALSE), 350), MAX(IFERROR(VLOOKUP(G317, Relic_Price_Config!$A$5:$E$9, 3, FALSE), 210), ROUND((IFERROR(VLOOKUP(H317, Relic_Price_Config!$G$5:$N$100, 4, FALSE), 280) + N(L317) * IF(N(O317)&gt;1, N(O317), 1) * IFERROR(VLOOKUP(H317, Relic_Price_Config!$G$5:$N$100, 5, FALSE), 10) + ABS(N(R317)) * IFERROR(VLOOKUP(H317, Relic_Price_Config!$G$5:$N$100, 6, FALSE), 15) + IF(N(S317)&gt;1, (N(S317)-1)*10, 0)) * IFERROR(VLOOKUP(G317, Relic_Price_Config!$A$5:$E$9, 2, FALSE), 1), 0))) * 0.1) / 5, 0) * 5)</f>
        <v>0</v>
      </c>
      <c r="AB317" s="5">
        <f t="shared" si="4"/>
        <v>0</v>
      </c>
    </row>
    <row r="318" spans="1:28" ht="24">
      <c r="A318" s="5" t="s">
        <v>1586</v>
      </c>
      <c r="B318" s="5" t="s">
        <v>1587</v>
      </c>
      <c r="C318" s="64" t="s">
        <v>1588</v>
      </c>
      <c r="D318" s="11" t="s">
        <v>1045</v>
      </c>
      <c r="E318" s="11" t="s">
        <v>1046</v>
      </c>
      <c r="F318" s="11" t="s">
        <v>43</v>
      </c>
      <c r="G318" s="11" t="s">
        <v>34</v>
      </c>
      <c r="H318" s="5" t="s">
        <v>44</v>
      </c>
      <c r="I318" s="5" t="s">
        <v>45</v>
      </c>
      <c r="J318" s="5">
        <v>0</v>
      </c>
      <c r="K318" s="5">
        <v>0</v>
      </c>
      <c r="L318" s="5">
        <v>11</v>
      </c>
      <c r="M318" s="5" t="s">
        <v>46</v>
      </c>
      <c r="N318" s="5">
        <v>1</v>
      </c>
      <c r="O318" s="5">
        <v>1</v>
      </c>
      <c r="P318" s="5">
        <v>0</v>
      </c>
      <c r="Q318" s="5" t="s">
        <v>38</v>
      </c>
      <c r="R318" s="5">
        <v>0</v>
      </c>
      <c r="S318" s="5">
        <v>0</v>
      </c>
      <c r="T318" s="5">
        <v>0</v>
      </c>
      <c r="U318" s="5"/>
      <c r="V318" s="5"/>
      <c r="W318" s="5"/>
      <c r="X318" s="5"/>
      <c r="Y318" s="6" t="s">
        <v>1589</v>
      </c>
      <c r="Z318" s="12" t="s">
        <v>1585</v>
      </c>
      <c r="AA318" s="5">
        <f>IF(OR(D318="Monster", E318="Basic"), 0, ROUND((MIN(IFERROR(VLOOKUP(G318, Relic_Price_Config!$A$5:$E$9, 4, FALSE), 350), MAX(IFERROR(VLOOKUP(G318, Relic_Price_Config!$A$5:$E$9, 3, FALSE), 210), ROUND((IFERROR(VLOOKUP(H318, Relic_Price_Config!$G$5:$N$100, 4, FALSE), 280) + N(L318) * IF(N(O318)&gt;1, N(O318), 1) * IFERROR(VLOOKUP(H318, Relic_Price_Config!$G$5:$N$100, 5, FALSE), 10) + ABS(N(R318)) * IFERROR(VLOOKUP(H318, Relic_Price_Config!$G$5:$N$100, 6, FALSE), 15) + IF(N(S318)&gt;1, (N(S318)-1)*10, 0)) * IFERROR(VLOOKUP(G318, Relic_Price_Config!$A$5:$E$9, 2, FALSE), 1), 0))) * 0.1) / 5, 0) * 5)</f>
        <v>0</v>
      </c>
      <c r="AB318" s="5">
        <f t="shared" si="4"/>
        <v>0</v>
      </c>
    </row>
    <row r="319" spans="1:28" ht="24" customHeight="1">
      <c r="A319" s="5" t="s">
        <v>1590</v>
      </c>
      <c r="B319" s="5" t="s">
        <v>1591</v>
      </c>
      <c r="C319" s="6" t="s">
        <v>1592</v>
      </c>
      <c r="D319" s="11" t="s">
        <v>1045</v>
      </c>
      <c r="E319" s="11" t="s">
        <v>1046</v>
      </c>
      <c r="F319" s="11" t="s">
        <v>51</v>
      </c>
      <c r="G319" s="11" t="s">
        <v>34</v>
      </c>
      <c r="H319" s="5" t="s">
        <v>309</v>
      </c>
      <c r="I319" s="5" t="s">
        <v>108</v>
      </c>
      <c r="J319" s="5">
        <v>0</v>
      </c>
      <c r="K319" s="5">
        <v>0</v>
      </c>
      <c r="L319" s="5">
        <v>8</v>
      </c>
      <c r="M319" s="5" t="s">
        <v>37</v>
      </c>
      <c r="N319" s="5">
        <v>1</v>
      </c>
      <c r="O319" s="5">
        <v>1</v>
      </c>
      <c r="P319" s="5">
        <v>0</v>
      </c>
      <c r="Q319" s="5" t="s">
        <v>130</v>
      </c>
      <c r="R319" s="5">
        <v>2</v>
      </c>
      <c r="S319" s="5">
        <v>1</v>
      </c>
      <c r="T319" s="5">
        <v>0</v>
      </c>
      <c r="U319" s="5"/>
      <c r="V319" s="5"/>
      <c r="W319" s="5"/>
      <c r="X319" s="5"/>
      <c r="Y319" s="6" t="s">
        <v>1593</v>
      </c>
      <c r="Z319" s="12" t="s">
        <v>1585</v>
      </c>
      <c r="AA319" s="5">
        <f>IF(OR(D319="Monster", E319="Basic"), 0, ROUND((MIN(IFERROR(VLOOKUP(G319, Relic_Price_Config!$A$5:$E$9, 4, FALSE), 350), MAX(IFERROR(VLOOKUP(G319, Relic_Price_Config!$A$5:$E$9, 3, FALSE), 210), ROUND((IFERROR(VLOOKUP(H319, Relic_Price_Config!$G$5:$N$100, 4, FALSE), 280) + N(L319) * IF(N(O319)&gt;1, N(O319), 1) * IFERROR(VLOOKUP(H319, Relic_Price_Config!$G$5:$N$100, 5, FALSE), 10) + ABS(N(R319)) * IFERROR(VLOOKUP(H319, Relic_Price_Config!$G$5:$N$100, 6, FALSE), 15) + IF(N(S319)&gt;1, (N(S319)-1)*10, 0)) * IFERROR(VLOOKUP(G319, Relic_Price_Config!$A$5:$E$9, 2, FALSE), 1), 0))) * 0.1) / 5, 0) * 5)</f>
        <v>0</v>
      </c>
      <c r="AB319" s="5">
        <f t="shared" si="4"/>
        <v>0</v>
      </c>
    </row>
    <row r="320" spans="1:28" ht="24" customHeight="1">
      <c r="A320" s="5" t="s">
        <v>1594</v>
      </c>
      <c r="B320" s="5" t="s">
        <v>1595</v>
      </c>
      <c r="C320" s="6" t="s">
        <v>1596</v>
      </c>
      <c r="D320" s="11" t="s">
        <v>1045</v>
      </c>
      <c r="E320" s="11" t="s">
        <v>1046</v>
      </c>
      <c r="F320" s="11" t="s">
        <v>33</v>
      </c>
      <c r="G320" s="11" t="s">
        <v>34</v>
      </c>
      <c r="H320" s="5" t="s">
        <v>309</v>
      </c>
      <c r="I320" s="5" t="s">
        <v>108</v>
      </c>
      <c r="J320" s="5">
        <v>0</v>
      </c>
      <c r="K320" s="5">
        <v>0</v>
      </c>
      <c r="L320" s="5">
        <v>12</v>
      </c>
      <c r="M320" s="5" t="s">
        <v>37</v>
      </c>
      <c r="N320" s="5">
        <v>1</v>
      </c>
      <c r="O320" s="5">
        <v>1</v>
      </c>
      <c r="P320" s="5">
        <v>0</v>
      </c>
      <c r="Q320" s="5" t="s">
        <v>130</v>
      </c>
      <c r="R320" s="5">
        <v>2</v>
      </c>
      <c r="S320" s="5">
        <v>1</v>
      </c>
      <c r="T320" s="5">
        <v>0</v>
      </c>
      <c r="U320" s="5"/>
      <c r="V320" s="5"/>
      <c r="W320" s="5"/>
      <c r="X320" s="5"/>
      <c r="Y320" s="6" t="s">
        <v>1597</v>
      </c>
      <c r="Z320" s="12" t="s">
        <v>1598</v>
      </c>
      <c r="AA320" s="5">
        <f>IF(OR(D320="Monster", E320="Basic"), 0, ROUND((MIN(IFERROR(VLOOKUP(G320, Relic_Price_Config!$A$5:$E$9, 4, FALSE), 350), MAX(IFERROR(VLOOKUP(G320, Relic_Price_Config!$A$5:$E$9, 3, FALSE), 210), ROUND((IFERROR(VLOOKUP(H320, Relic_Price_Config!$G$5:$N$100, 4, FALSE), 280) + N(L320) * IF(N(O320)&gt;1, N(O320), 1) * IFERROR(VLOOKUP(H320, Relic_Price_Config!$G$5:$N$100, 5, FALSE), 10) + ABS(N(R320)) * IFERROR(VLOOKUP(H320, Relic_Price_Config!$G$5:$N$100, 6, FALSE), 15) + IF(N(S320)&gt;1, (N(S320)-1)*10, 0)) * IFERROR(VLOOKUP(G320, Relic_Price_Config!$A$5:$E$9, 2, FALSE), 1), 0))) * 0.1) / 5, 0) * 5)</f>
        <v>0</v>
      </c>
      <c r="AB320" s="5">
        <f t="shared" si="4"/>
        <v>0</v>
      </c>
    </row>
    <row r="321" spans="1:28" ht="24">
      <c r="A321" s="5" t="s">
        <v>1599</v>
      </c>
      <c r="B321" s="5" t="s">
        <v>1600</v>
      </c>
      <c r="C321" s="6" t="s">
        <v>1601</v>
      </c>
      <c r="D321" s="11" t="s">
        <v>1045</v>
      </c>
      <c r="E321" s="11" t="s">
        <v>1046</v>
      </c>
      <c r="F321" s="11" t="s">
        <v>43</v>
      </c>
      <c r="G321" s="11" t="s">
        <v>34</v>
      </c>
      <c r="H321" s="5" t="s">
        <v>44</v>
      </c>
      <c r="I321" s="5" t="s">
        <v>45</v>
      </c>
      <c r="J321" s="5">
        <v>0</v>
      </c>
      <c r="K321" s="5">
        <v>0</v>
      </c>
      <c r="L321" s="5">
        <v>13</v>
      </c>
      <c r="M321" s="5" t="s">
        <v>46</v>
      </c>
      <c r="N321" s="5">
        <v>1</v>
      </c>
      <c r="O321" s="5">
        <v>1</v>
      </c>
      <c r="P321" s="5">
        <v>0</v>
      </c>
      <c r="Q321" s="5" t="s">
        <v>38</v>
      </c>
      <c r="R321" s="5">
        <v>0</v>
      </c>
      <c r="S321" s="5">
        <v>0</v>
      </c>
      <c r="T321" s="5">
        <v>0</v>
      </c>
      <c r="U321" s="5"/>
      <c r="V321" s="5"/>
      <c r="W321" s="5"/>
      <c r="X321" s="5"/>
      <c r="Y321" s="6" t="s">
        <v>1602</v>
      </c>
      <c r="Z321" s="12" t="s">
        <v>1598</v>
      </c>
      <c r="AA321" s="5">
        <f>IF(OR(D321="Monster", E321="Basic"), 0, ROUND((MIN(IFERROR(VLOOKUP(G321, Relic_Price_Config!$A$5:$E$9, 4, FALSE), 350), MAX(IFERROR(VLOOKUP(G321, Relic_Price_Config!$A$5:$E$9, 3, FALSE), 210), ROUND((IFERROR(VLOOKUP(H321, Relic_Price_Config!$G$5:$N$100, 4, FALSE), 280) + N(L321) * IF(N(O321)&gt;1, N(O321), 1) * IFERROR(VLOOKUP(H321, Relic_Price_Config!$G$5:$N$100, 5, FALSE), 10) + ABS(N(R321)) * IFERROR(VLOOKUP(H321, Relic_Price_Config!$G$5:$N$100, 6, FALSE), 15) + IF(N(S321)&gt;1, (N(S321)-1)*10, 0)) * IFERROR(VLOOKUP(G321, Relic_Price_Config!$A$5:$E$9, 2, FALSE), 1), 0))) * 0.1) / 5, 0) * 5)</f>
        <v>0</v>
      </c>
      <c r="AB321" s="5">
        <f t="shared" si="4"/>
        <v>0</v>
      </c>
    </row>
    <row r="322" spans="1:28" ht="24">
      <c r="A322" s="5" t="s">
        <v>1603</v>
      </c>
      <c r="B322" s="5" t="s">
        <v>1604</v>
      </c>
      <c r="C322" s="6" t="s">
        <v>1605</v>
      </c>
      <c r="D322" s="11" t="s">
        <v>1045</v>
      </c>
      <c r="E322" s="11" t="s">
        <v>1046</v>
      </c>
      <c r="F322" s="11" t="s">
        <v>51</v>
      </c>
      <c r="G322" s="11" t="s">
        <v>34</v>
      </c>
      <c r="H322" s="5" t="s">
        <v>174</v>
      </c>
      <c r="I322" s="5" t="s">
        <v>108</v>
      </c>
      <c r="J322" s="5">
        <v>0</v>
      </c>
      <c r="K322" s="5">
        <v>0</v>
      </c>
      <c r="L322" s="5">
        <v>4</v>
      </c>
      <c r="M322" s="5" t="s">
        <v>37</v>
      </c>
      <c r="N322" s="5">
        <v>1</v>
      </c>
      <c r="O322" s="5">
        <v>3</v>
      </c>
      <c r="P322" s="5">
        <v>0</v>
      </c>
      <c r="Q322" s="5" t="s">
        <v>38</v>
      </c>
      <c r="R322" s="5">
        <v>0</v>
      </c>
      <c r="S322" s="5">
        <v>0</v>
      </c>
      <c r="T322" s="5">
        <v>0</v>
      </c>
      <c r="U322" s="5"/>
      <c r="V322" s="5"/>
      <c r="W322" s="5"/>
      <c r="X322" s="5"/>
      <c r="Y322" s="6" t="s">
        <v>1606</v>
      </c>
      <c r="Z322" s="12" t="s">
        <v>1598</v>
      </c>
      <c r="AA322" s="5">
        <f>IF(OR(D322="Monster", E322="Basic"), 0, ROUND((MIN(IFERROR(VLOOKUP(G322, Relic_Price_Config!$A$5:$E$9, 4, FALSE), 350), MAX(IFERROR(VLOOKUP(G322, Relic_Price_Config!$A$5:$E$9, 3, FALSE), 210), ROUND((IFERROR(VLOOKUP(H322, Relic_Price_Config!$G$5:$N$100, 4, FALSE), 280) + N(L322) * IF(N(O322)&gt;1, N(O322), 1) * IFERROR(VLOOKUP(H322, Relic_Price_Config!$G$5:$N$100, 5, FALSE), 10) + ABS(N(R322)) * IFERROR(VLOOKUP(H322, Relic_Price_Config!$G$5:$N$100, 6, FALSE), 15) + IF(N(S322)&gt;1, (N(S322)-1)*10, 0)) * IFERROR(VLOOKUP(G322, Relic_Price_Config!$A$5:$E$9, 2, FALSE), 1), 0))) * 0.1) / 5, 0) * 5)</f>
        <v>0</v>
      </c>
      <c r="AB322" s="5">
        <f t="shared" ref="AB322:AB385" si="5">IF(AA322&lt;=0, 0, ROUND((AA322*0.7)/5, 0)*5)</f>
        <v>0</v>
      </c>
    </row>
  </sheetData>
  <autoFilter ref="A1:Z322" xr:uid="{00000000-0009-0000-0000-000000000000}"/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Normal="100" zoomScalePageLayoutView="60" workbookViewId="0"/>
  </sheetViews>
  <sheetFormatPr defaultColWidth="8.59765625" defaultRowHeight="17.399999999999999"/>
  <cols>
    <col min="1" max="1" width="20" customWidth="1"/>
    <col min="2" max="2" width="16.8984375" customWidth="1"/>
    <col min="3" max="3" width="46" customWidth="1"/>
    <col min="4" max="4" width="40" customWidth="1"/>
  </cols>
  <sheetData>
    <row r="1" spans="1:4" ht="18" customHeight="1">
      <c r="A1" s="17" t="s">
        <v>1607</v>
      </c>
    </row>
    <row r="2" spans="1:4" ht="17.25" customHeight="1">
      <c r="A2" s="91" t="s">
        <v>1608</v>
      </c>
      <c r="B2" s="92"/>
      <c r="C2" s="92"/>
      <c r="D2" s="92"/>
    </row>
    <row r="4" spans="1:4" ht="17.25" customHeight="1">
      <c r="A4" s="18" t="s">
        <v>1609</v>
      </c>
      <c r="B4" s="18" t="s">
        <v>1610</v>
      </c>
      <c r="C4" s="19" t="s">
        <v>1611</v>
      </c>
      <c r="D4" s="19" t="s">
        <v>1612</v>
      </c>
    </row>
    <row r="5" spans="1:4" ht="17.25" customHeight="1">
      <c r="A5" s="20" t="s">
        <v>0</v>
      </c>
      <c r="B5" s="20" t="s">
        <v>1613</v>
      </c>
      <c r="C5" s="21" t="s">
        <v>1614</v>
      </c>
      <c r="D5" s="21" t="s">
        <v>1615</v>
      </c>
    </row>
    <row r="6" spans="1:4" ht="17.25" customHeight="1">
      <c r="A6" s="22" t="s">
        <v>1</v>
      </c>
      <c r="B6" s="22" t="s">
        <v>1616</v>
      </c>
      <c r="C6" s="23" t="s">
        <v>1617</v>
      </c>
      <c r="D6" s="23" t="s">
        <v>1618</v>
      </c>
    </row>
    <row r="7" spans="1:4" ht="17.25" customHeight="1">
      <c r="A7" s="20" t="s">
        <v>2</v>
      </c>
      <c r="B7" s="20" t="s">
        <v>1619</v>
      </c>
      <c r="C7" s="20" t="s">
        <v>1620</v>
      </c>
      <c r="D7" s="21" t="s">
        <v>1621</v>
      </c>
    </row>
    <row r="8" spans="1:4" ht="17.25" customHeight="1">
      <c r="A8" s="22" t="s">
        <v>3</v>
      </c>
      <c r="B8" s="22" t="s">
        <v>1622</v>
      </c>
      <c r="C8" s="23" t="s">
        <v>1623</v>
      </c>
      <c r="D8" s="22" t="s">
        <v>1624</v>
      </c>
    </row>
    <row r="9" spans="1:4" ht="17.25" customHeight="1">
      <c r="A9" s="20" t="s">
        <v>4</v>
      </c>
      <c r="B9" s="20" t="s">
        <v>1625</v>
      </c>
      <c r="C9" s="20" t="s">
        <v>1626</v>
      </c>
      <c r="D9" s="20" t="s">
        <v>1627</v>
      </c>
    </row>
    <row r="10" spans="1:4" ht="17.25" customHeight="1">
      <c r="A10" s="22" t="s">
        <v>5</v>
      </c>
      <c r="B10" s="22" t="s">
        <v>1628</v>
      </c>
      <c r="C10" s="23" t="s">
        <v>1629</v>
      </c>
      <c r="D10" s="22" t="s">
        <v>1630</v>
      </c>
    </row>
    <row r="11" spans="1:4" ht="17.25" customHeight="1">
      <c r="A11" s="20" t="s">
        <v>6</v>
      </c>
      <c r="B11" s="20" t="s">
        <v>1631</v>
      </c>
      <c r="C11" s="20" t="s">
        <v>1632</v>
      </c>
      <c r="D11" s="20" t="s">
        <v>1633</v>
      </c>
    </row>
    <row r="12" spans="1:4" ht="17.25" customHeight="1">
      <c r="A12" s="22" t="s">
        <v>7</v>
      </c>
      <c r="B12" s="22" t="s">
        <v>1634</v>
      </c>
      <c r="C12" s="23" t="s">
        <v>1635</v>
      </c>
      <c r="D12" s="23" t="s">
        <v>1636</v>
      </c>
    </row>
    <row r="13" spans="1:4" ht="17.25" customHeight="1">
      <c r="A13" s="20" t="s">
        <v>8</v>
      </c>
      <c r="B13" s="20" t="s">
        <v>1637</v>
      </c>
      <c r="C13" s="21" t="s">
        <v>1638</v>
      </c>
      <c r="D13" s="20" t="s">
        <v>1639</v>
      </c>
    </row>
    <row r="14" spans="1:4" ht="17.25" customHeight="1">
      <c r="A14" s="22" t="s">
        <v>9</v>
      </c>
      <c r="B14" s="22" t="s">
        <v>1640</v>
      </c>
      <c r="C14" s="23" t="s">
        <v>1641</v>
      </c>
      <c r="D14" s="23" t="s">
        <v>1642</v>
      </c>
    </row>
    <row r="15" spans="1:4" ht="17.25" customHeight="1">
      <c r="A15" s="20" t="s">
        <v>10</v>
      </c>
      <c r="B15" s="20" t="s">
        <v>1640</v>
      </c>
      <c r="C15" s="21" t="s">
        <v>1643</v>
      </c>
      <c r="D15" s="21" t="s">
        <v>1644</v>
      </c>
    </row>
    <row r="16" spans="1:4" ht="17.25" customHeight="1">
      <c r="A16" s="22" t="s">
        <v>11</v>
      </c>
      <c r="B16" s="22" t="s">
        <v>1640</v>
      </c>
      <c r="C16" s="23" t="s">
        <v>1645</v>
      </c>
      <c r="D16" s="23" t="s">
        <v>1646</v>
      </c>
    </row>
    <row r="17" spans="1:4" ht="17.25" customHeight="1">
      <c r="A17" s="20" t="s">
        <v>12</v>
      </c>
      <c r="B17" s="20" t="s">
        <v>1647</v>
      </c>
      <c r="C17" s="20" t="s">
        <v>1648</v>
      </c>
      <c r="D17" s="20" t="s">
        <v>1649</v>
      </c>
    </row>
    <row r="18" spans="1:4" ht="17.25" customHeight="1">
      <c r="A18" s="22" t="s">
        <v>13</v>
      </c>
      <c r="B18" s="22" t="s">
        <v>1650</v>
      </c>
      <c r="C18" s="23" t="s">
        <v>1651</v>
      </c>
      <c r="D18" s="23" t="s">
        <v>1652</v>
      </c>
    </row>
    <row r="19" spans="1:4" ht="17.25" customHeight="1">
      <c r="A19" s="20" t="s">
        <v>14</v>
      </c>
      <c r="B19" s="20" t="s">
        <v>1640</v>
      </c>
      <c r="C19" s="21" t="s">
        <v>1653</v>
      </c>
      <c r="D19" s="21" t="s">
        <v>1654</v>
      </c>
    </row>
    <row r="20" spans="1:4" ht="17.25" customHeight="1">
      <c r="A20" s="22" t="s">
        <v>15</v>
      </c>
      <c r="B20" s="22" t="s">
        <v>1640</v>
      </c>
      <c r="C20" s="23" t="s">
        <v>1655</v>
      </c>
      <c r="D20" s="22" t="s">
        <v>1656</v>
      </c>
    </row>
    <row r="21" spans="1:4" ht="24" customHeight="1">
      <c r="A21" s="20" t="s">
        <v>16</v>
      </c>
      <c r="B21" s="20" t="s">
        <v>1657</v>
      </c>
      <c r="C21" s="21" t="s">
        <v>1658</v>
      </c>
      <c r="D21" s="20" t="s">
        <v>1659</v>
      </c>
    </row>
    <row r="22" spans="1:4" ht="17.25" customHeight="1">
      <c r="A22" s="22" t="s">
        <v>17</v>
      </c>
      <c r="B22" s="22" t="s">
        <v>1640</v>
      </c>
      <c r="C22" s="23" t="s">
        <v>1660</v>
      </c>
      <c r="D22" s="22" t="s">
        <v>1661</v>
      </c>
    </row>
    <row r="23" spans="1:4" ht="17.25" customHeight="1">
      <c r="A23" s="20" t="s">
        <v>18</v>
      </c>
      <c r="B23" s="20" t="s">
        <v>1640</v>
      </c>
      <c r="C23" s="21" t="s">
        <v>1662</v>
      </c>
      <c r="D23" s="21" t="s">
        <v>1663</v>
      </c>
    </row>
    <row r="24" spans="1:4" ht="17.25" customHeight="1">
      <c r="A24" s="22" t="s">
        <v>19</v>
      </c>
      <c r="B24" s="22" t="s">
        <v>1640</v>
      </c>
      <c r="C24" s="23" t="s">
        <v>1664</v>
      </c>
      <c r="D24" s="22" t="s">
        <v>1665</v>
      </c>
    </row>
    <row r="25" spans="1:4" ht="17.25" customHeight="1">
      <c r="A25" s="20" t="s">
        <v>20</v>
      </c>
      <c r="B25" s="20" t="s">
        <v>1666</v>
      </c>
      <c r="C25" s="20" t="s">
        <v>1667</v>
      </c>
      <c r="D25" s="21" t="s">
        <v>1668</v>
      </c>
    </row>
    <row r="26" spans="1:4" ht="17.25" customHeight="1">
      <c r="A26" s="22" t="s">
        <v>21</v>
      </c>
      <c r="B26" s="22" t="s">
        <v>1666</v>
      </c>
      <c r="C26" s="23" t="s">
        <v>1669</v>
      </c>
      <c r="D26" s="23" t="s">
        <v>1670</v>
      </c>
    </row>
    <row r="27" spans="1:4" ht="17.25" customHeight="1">
      <c r="A27" s="20" t="s">
        <v>22</v>
      </c>
      <c r="B27" s="20" t="s">
        <v>1666</v>
      </c>
      <c r="C27" s="21" t="s">
        <v>1671</v>
      </c>
      <c r="D27" s="21" t="s">
        <v>1672</v>
      </c>
    </row>
    <row r="28" spans="1:4" ht="17.25" customHeight="1">
      <c r="A28" s="22" t="s">
        <v>23</v>
      </c>
      <c r="B28" s="22" t="s">
        <v>1666</v>
      </c>
      <c r="C28" s="23" t="s">
        <v>1673</v>
      </c>
      <c r="D28" s="23" t="s">
        <v>1674</v>
      </c>
    </row>
    <row r="29" spans="1:4" ht="17.25" customHeight="1">
      <c r="A29" s="20" t="s">
        <v>24</v>
      </c>
      <c r="B29" s="20" t="s">
        <v>1619</v>
      </c>
      <c r="C29" s="21" t="s">
        <v>1675</v>
      </c>
      <c r="D29" s="21" t="s">
        <v>1676</v>
      </c>
    </row>
    <row r="30" spans="1:4" ht="17.25" customHeight="1">
      <c r="A30" s="22" t="s">
        <v>25</v>
      </c>
      <c r="B30" s="22" t="s">
        <v>1616</v>
      </c>
      <c r="C30" s="23" t="s">
        <v>1677</v>
      </c>
      <c r="D30" s="23" t="s">
        <v>1678</v>
      </c>
    </row>
    <row r="31" spans="1:4" ht="24" customHeight="1">
      <c r="A31" s="22" t="s">
        <v>26</v>
      </c>
      <c r="B31" s="22" t="s">
        <v>1640</v>
      </c>
      <c r="C31" s="23" t="s">
        <v>1679</v>
      </c>
      <c r="D31" s="23" t="s">
        <v>1680</v>
      </c>
    </row>
    <row r="32" spans="1:4" ht="24" customHeight="1">
      <c r="A32" s="22" t="s">
        <v>27</v>
      </c>
      <c r="B32" s="22" t="s">
        <v>1640</v>
      </c>
      <c r="C32" s="23" t="s">
        <v>1681</v>
      </c>
      <c r="D32" s="23" t="s">
        <v>1682</v>
      </c>
    </row>
    <row r="35" spans="1:2" ht="17.25" customHeight="1"/>
    <row r="36" spans="1:2" ht="36" customHeight="1"/>
    <row r="37" spans="1:2" ht="24" customHeight="1">
      <c r="A37" s="21" t="s">
        <v>1683</v>
      </c>
      <c r="B37" s="21" t="s">
        <v>1684</v>
      </c>
    </row>
    <row r="38" spans="1:2" ht="24" customHeight="1">
      <c r="A38" s="20" t="s">
        <v>3</v>
      </c>
      <c r="B38" s="20" t="s">
        <v>1685</v>
      </c>
    </row>
    <row r="39" spans="1:2" ht="17.25" customHeight="1">
      <c r="A39" s="20" t="s">
        <v>4</v>
      </c>
      <c r="B39" s="20" t="s">
        <v>1686</v>
      </c>
    </row>
    <row r="40" spans="1:2" ht="36" customHeight="1">
      <c r="A40" s="20" t="s">
        <v>5</v>
      </c>
      <c r="B40" s="20" t="s">
        <v>1687</v>
      </c>
    </row>
    <row r="41" spans="1:2" ht="17.25" customHeight="1">
      <c r="A41" s="20" t="s">
        <v>6</v>
      </c>
      <c r="B41" s="20" t="s">
        <v>1688</v>
      </c>
    </row>
    <row r="42" spans="1:2" ht="36" customHeight="1">
      <c r="A42" s="20" t="s">
        <v>8</v>
      </c>
      <c r="B42" s="20" t="s">
        <v>1689</v>
      </c>
    </row>
    <row r="43" spans="1:2" ht="36" customHeight="1">
      <c r="A43" s="20" t="s">
        <v>12</v>
      </c>
      <c r="B43" s="20" t="s">
        <v>1690</v>
      </c>
    </row>
    <row r="44" spans="1:2" ht="36" customHeight="1">
      <c r="A44" s="20" t="s">
        <v>16</v>
      </c>
      <c r="B44" s="20" t="s">
        <v>1691</v>
      </c>
    </row>
  </sheetData>
  <mergeCells count="1">
    <mergeCell ref="A2:D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1"/>
  <sheetViews>
    <sheetView zoomScaleNormal="100" zoomScalePageLayoutView="60" workbookViewId="0">
      <selection activeCell="A5" sqref="A5"/>
    </sheetView>
  </sheetViews>
  <sheetFormatPr defaultColWidth="8.59765625" defaultRowHeight="17.399999999999999"/>
  <cols>
    <col min="1" max="1" width="21.59765625" customWidth="1"/>
    <col min="2" max="2" width="34.796875" customWidth="1"/>
    <col min="3" max="3" width="33.296875" customWidth="1"/>
    <col min="4" max="4" width="14.59765625" customWidth="1"/>
    <col min="5" max="5" width="41.59765625" customWidth="1"/>
    <col min="6" max="6" width="37.69921875" customWidth="1"/>
    <col min="8" max="8" width="12.59765625" customWidth="1"/>
    <col min="9" max="9" width="13.5" customWidth="1"/>
    <col min="12" max="12" width="13.19921875" customWidth="1"/>
    <col min="13" max="13" width="11.09765625" customWidth="1"/>
  </cols>
  <sheetData>
    <row r="1" spans="1:14" ht="18" customHeight="1">
      <c r="A1" s="24" t="s">
        <v>1692</v>
      </c>
    </row>
    <row r="2" spans="1:14" ht="17.25" customHeight="1">
      <c r="A2" s="91" t="s">
        <v>1693</v>
      </c>
      <c r="B2" s="92"/>
      <c r="C2" s="92"/>
      <c r="D2" s="92"/>
      <c r="E2" s="92"/>
    </row>
    <row r="4" spans="1:14" ht="17.25" customHeight="1">
      <c r="A4" s="1" t="s">
        <v>7</v>
      </c>
      <c r="B4" s="25" t="s">
        <v>1611</v>
      </c>
      <c r="C4" s="25" t="s">
        <v>1694</v>
      </c>
      <c r="D4" s="1" t="s">
        <v>1695</v>
      </c>
      <c r="E4" s="25" t="s">
        <v>1696</v>
      </c>
      <c r="F4" s="25" t="s">
        <v>1697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16</v>
      </c>
      <c r="M4" s="1" t="s">
        <v>8</v>
      </c>
      <c r="N4" s="1" t="s">
        <v>1698</v>
      </c>
    </row>
    <row r="5" spans="1:14" ht="17.25" customHeight="1">
      <c r="A5" s="7" t="s">
        <v>77</v>
      </c>
      <c r="B5" s="6" t="s">
        <v>1699</v>
      </c>
      <c r="C5" s="7" t="s">
        <v>1700</v>
      </c>
      <c r="D5" s="7" t="s">
        <v>36</v>
      </c>
      <c r="E5" s="7"/>
      <c r="F5" s="6" t="s">
        <v>1701</v>
      </c>
      <c r="H5" s="26" t="s">
        <v>31</v>
      </c>
      <c r="I5" s="26" t="s">
        <v>32</v>
      </c>
      <c r="J5" s="11" t="s">
        <v>33</v>
      </c>
      <c r="K5" s="11" t="s">
        <v>208</v>
      </c>
      <c r="L5" s="5" t="s">
        <v>38</v>
      </c>
      <c r="M5" s="5" t="s">
        <v>45</v>
      </c>
      <c r="N5" s="11" t="s">
        <v>208</v>
      </c>
    </row>
    <row r="6" spans="1:14" ht="17.25" customHeight="1">
      <c r="A6" s="7" t="s">
        <v>35</v>
      </c>
      <c r="B6" s="6" t="s">
        <v>1702</v>
      </c>
      <c r="C6" s="7" t="s">
        <v>1703</v>
      </c>
      <c r="D6" s="7" t="s">
        <v>36</v>
      </c>
      <c r="E6" s="7" t="s">
        <v>1704</v>
      </c>
      <c r="F6" s="6" t="s">
        <v>1705</v>
      </c>
      <c r="H6" s="11" t="s">
        <v>59</v>
      </c>
      <c r="I6" s="26" t="s">
        <v>1046</v>
      </c>
      <c r="J6" s="26" t="s">
        <v>43</v>
      </c>
      <c r="K6" s="26" t="s">
        <v>295</v>
      </c>
      <c r="L6" s="2" t="s">
        <v>53</v>
      </c>
      <c r="M6" s="2" t="s">
        <v>36</v>
      </c>
      <c r="N6" s="26" t="s">
        <v>295</v>
      </c>
    </row>
    <row r="7" spans="1:14" ht="17.25" customHeight="1">
      <c r="A7" s="7" t="s">
        <v>60</v>
      </c>
      <c r="B7" s="6" t="s">
        <v>1706</v>
      </c>
      <c r="C7" s="7" t="s">
        <v>1707</v>
      </c>
      <c r="D7" s="7" t="s">
        <v>36</v>
      </c>
      <c r="E7" s="7" t="s">
        <v>1708</v>
      </c>
      <c r="F7" s="6" t="s">
        <v>1709</v>
      </c>
      <c r="H7" s="26" t="s">
        <v>76</v>
      </c>
      <c r="I7" s="7" t="s">
        <v>115</v>
      </c>
      <c r="J7" s="11" t="s">
        <v>51</v>
      </c>
      <c r="K7" s="11" t="s">
        <v>34</v>
      </c>
      <c r="L7" s="5" t="s">
        <v>94</v>
      </c>
      <c r="M7" s="5" t="s">
        <v>108</v>
      </c>
      <c r="N7" s="11" t="s">
        <v>34</v>
      </c>
    </row>
    <row r="8" spans="1:14" ht="17.25" customHeight="1">
      <c r="A8" s="7" t="s">
        <v>652</v>
      </c>
      <c r="B8" s="6" t="s">
        <v>1710</v>
      </c>
      <c r="C8" s="7" t="s">
        <v>1700</v>
      </c>
      <c r="D8" s="7" t="s">
        <v>108</v>
      </c>
      <c r="E8" s="7"/>
      <c r="F8" s="6" t="s">
        <v>1711</v>
      </c>
      <c r="H8" s="11" t="s">
        <v>92</v>
      </c>
      <c r="I8" s="7" t="s">
        <v>1247</v>
      </c>
      <c r="L8" s="2" t="s">
        <v>101</v>
      </c>
      <c r="M8" s="2" t="s">
        <v>87</v>
      </c>
      <c r="N8" s="11" t="s">
        <v>32</v>
      </c>
    </row>
    <row r="9" spans="1:14" ht="27" customHeight="1">
      <c r="A9" s="27" t="s">
        <v>1712</v>
      </c>
      <c r="B9" s="28" t="s">
        <v>1713</v>
      </c>
      <c r="C9" s="29" t="s">
        <v>1714</v>
      </c>
      <c r="D9" s="7" t="s">
        <v>36</v>
      </c>
      <c r="E9" s="28"/>
      <c r="F9" s="28" t="s">
        <v>1715</v>
      </c>
      <c r="H9" s="11" t="s">
        <v>1242</v>
      </c>
      <c r="L9" s="5" t="s">
        <v>109</v>
      </c>
      <c r="M9" s="2" t="s">
        <v>504</v>
      </c>
      <c r="N9" s="11" t="s">
        <v>1716</v>
      </c>
    </row>
    <row r="10" spans="1:14" ht="24" customHeight="1">
      <c r="A10" s="7" t="s">
        <v>1717</v>
      </c>
      <c r="B10" s="6" t="s">
        <v>1718</v>
      </c>
      <c r="C10" s="7" t="s">
        <v>1719</v>
      </c>
      <c r="D10" s="7" t="s">
        <v>36</v>
      </c>
      <c r="E10" s="7"/>
      <c r="F10" s="6" t="s">
        <v>1720</v>
      </c>
      <c r="H10" s="11" t="s">
        <v>1045</v>
      </c>
      <c r="L10" s="2" t="s">
        <v>19</v>
      </c>
    </row>
    <row r="11" spans="1:14" ht="24" customHeight="1">
      <c r="A11" s="7" t="s">
        <v>93</v>
      </c>
      <c r="B11" s="6" t="s">
        <v>1721</v>
      </c>
      <c r="C11" s="7" t="s">
        <v>1722</v>
      </c>
      <c r="D11" s="7" t="s">
        <v>36</v>
      </c>
      <c r="E11" s="7" t="s">
        <v>1723</v>
      </c>
      <c r="F11" s="6" t="s">
        <v>1724</v>
      </c>
      <c r="H11" s="11" t="s">
        <v>1247</v>
      </c>
      <c r="L11" s="5" t="s">
        <v>71</v>
      </c>
    </row>
    <row r="12" spans="1:14" ht="24" customHeight="1">
      <c r="A12" s="7" t="s">
        <v>842</v>
      </c>
      <c r="B12" s="6" t="s">
        <v>1725</v>
      </c>
      <c r="C12" s="7" t="s">
        <v>1726</v>
      </c>
      <c r="D12" s="7" t="s">
        <v>36</v>
      </c>
      <c r="E12" s="7" t="s">
        <v>1727</v>
      </c>
      <c r="F12" s="6" t="s">
        <v>1728</v>
      </c>
      <c r="H12" s="11" t="s">
        <v>1729</v>
      </c>
      <c r="L12" s="5" t="s">
        <v>159</v>
      </c>
    </row>
    <row r="13" spans="1:14" ht="17.25" customHeight="1">
      <c r="A13" s="7" t="s">
        <v>1730</v>
      </c>
      <c r="B13" s="6" t="s">
        <v>1731</v>
      </c>
      <c r="C13" s="7" t="s">
        <v>19</v>
      </c>
      <c r="D13" s="7" t="s">
        <v>45</v>
      </c>
      <c r="E13" s="7"/>
      <c r="F13" s="6" t="s">
        <v>1732</v>
      </c>
      <c r="H13" s="30"/>
      <c r="L13" s="5" t="s">
        <v>413</v>
      </c>
    </row>
    <row r="14" spans="1:14" ht="17.25" customHeight="1">
      <c r="A14" s="7" t="s">
        <v>534</v>
      </c>
      <c r="B14" s="6" t="s">
        <v>1733</v>
      </c>
      <c r="C14" s="7" t="s">
        <v>1734</v>
      </c>
      <c r="D14" s="7" t="s">
        <v>36</v>
      </c>
      <c r="E14" s="7" t="s">
        <v>1735</v>
      </c>
      <c r="F14" s="6" t="s">
        <v>1736</v>
      </c>
      <c r="L14" s="5" t="s">
        <v>130</v>
      </c>
    </row>
    <row r="15" spans="1:14" ht="17.25" customHeight="1">
      <c r="A15" s="7" t="s">
        <v>44</v>
      </c>
      <c r="B15" s="6" t="s">
        <v>1737</v>
      </c>
      <c r="C15" s="7" t="s">
        <v>1700</v>
      </c>
      <c r="D15" s="7" t="s">
        <v>45</v>
      </c>
      <c r="E15" s="7"/>
      <c r="F15" s="7"/>
      <c r="L15" s="5" t="s">
        <v>322</v>
      </c>
    </row>
    <row r="16" spans="1:14" ht="27" customHeight="1">
      <c r="A16" s="7" t="s">
        <v>1520</v>
      </c>
      <c r="B16" s="6" t="s">
        <v>1738</v>
      </c>
      <c r="C16" s="7" t="s">
        <v>1739</v>
      </c>
      <c r="D16" s="7" t="s">
        <v>45</v>
      </c>
      <c r="E16" s="7"/>
      <c r="F16" s="6" t="s">
        <v>1740</v>
      </c>
      <c r="L16" s="5" t="s">
        <v>425</v>
      </c>
    </row>
    <row r="17" spans="1:12" ht="24" customHeight="1">
      <c r="A17" s="7" t="s">
        <v>52</v>
      </c>
      <c r="B17" s="6" t="s">
        <v>1741</v>
      </c>
      <c r="C17" s="7" t="s">
        <v>1742</v>
      </c>
      <c r="D17" s="7" t="s">
        <v>45</v>
      </c>
      <c r="E17" s="7" t="s">
        <v>1743</v>
      </c>
      <c r="F17" s="6" t="s">
        <v>1744</v>
      </c>
      <c r="L17" s="5" t="s">
        <v>357</v>
      </c>
    </row>
    <row r="18" spans="1:12" ht="17.25" customHeight="1">
      <c r="A18" s="7" t="s">
        <v>638</v>
      </c>
      <c r="B18" s="6" t="s">
        <v>1745</v>
      </c>
      <c r="C18" s="7" t="s">
        <v>1700</v>
      </c>
      <c r="D18" s="7" t="s">
        <v>504</v>
      </c>
      <c r="E18" s="7"/>
      <c r="F18" s="7"/>
      <c r="L18" s="31" t="s">
        <v>562</v>
      </c>
    </row>
    <row r="19" spans="1:12" ht="17.25" customHeight="1">
      <c r="A19" s="7" t="s">
        <v>86</v>
      </c>
      <c r="B19" s="6" t="s">
        <v>1746</v>
      </c>
      <c r="C19" s="7" t="s">
        <v>1700</v>
      </c>
      <c r="D19" s="7" t="s">
        <v>87</v>
      </c>
      <c r="E19" s="7"/>
      <c r="F19" s="7"/>
      <c r="L19" t="s">
        <v>329</v>
      </c>
    </row>
    <row r="20" spans="1:12" ht="17.25" customHeight="1">
      <c r="A20" s="7" t="s">
        <v>624</v>
      </c>
      <c r="B20" s="6" t="s">
        <v>1747</v>
      </c>
      <c r="C20" s="7" t="s">
        <v>1700</v>
      </c>
      <c r="D20" s="7" t="s">
        <v>504</v>
      </c>
      <c r="E20" s="7"/>
      <c r="F20" s="7"/>
      <c r="L20" t="s">
        <v>229</v>
      </c>
    </row>
    <row r="21" spans="1:12" ht="24" customHeight="1">
      <c r="A21" s="7" t="s">
        <v>100</v>
      </c>
      <c r="B21" s="6" t="s">
        <v>1748</v>
      </c>
      <c r="C21" s="7" t="s">
        <v>1749</v>
      </c>
      <c r="D21" s="7" t="s">
        <v>45</v>
      </c>
      <c r="E21" s="7"/>
      <c r="F21" s="7" t="s">
        <v>1750</v>
      </c>
      <c r="L21" t="s">
        <v>316</v>
      </c>
    </row>
    <row r="22" spans="1:12" ht="24" customHeight="1">
      <c r="A22" s="7" t="s">
        <v>1751</v>
      </c>
      <c r="B22" s="6" t="s">
        <v>1752</v>
      </c>
      <c r="C22" s="7" t="s">
        <v>1719</v>
      </c>
      <c r="D22" s="7" t="s">
        <v>108</v>
      </c>
      <c r="E22" s="32"/>
      <c r="F22" s="32"/>
      <c r="L22" t="s">
        <v>251</v>
      </c>
    </row>
    <row r="23" spans="1:12" ht="24" customHeight="1">
      <c r="A23" s="7" t="s">
        <v>852</v>
      </c>
      <c r="B23" s="6" t="s">
        <v>1753</v>
      </c>
      <c r="C23" s="7" t="s">
        <v>1726</v>
      </c>
      <c r="D23" s="7" t="s">
        <v>108</v>
      </c>
      <c r="E23" s="7" t="s">
        <v>1754</v>
      </c>
      <c r="F23" s="6" t="s">
        <v>1755</v>
      </c>
      <c r="L23" t="s">
        <v>180</v>
      </c>
    </row>
    <row r="24" spans="1:12" ht="17.25" customHeight="1">
      <c r="A24" s="7" t="s">
        <v>146</v>
      </c>
      <c r="B24" s="6" t="s">
        <v>1756</v>
      </c>
      <c r="C24" s="7" t="s">
        <v>1700</v>
      </c>
      <c r="D24" s="7" t="s">
        <v>45</v>
      </c>
      <c r="E24" s="7"/>
      <c r="F24" s="6" t="s">
        <v>1757</v>
      </c>
      <c r="L24" t="s">
        <v>1758</v>
      </c>
    </row>
    <row r="25" spans="1:12" ht="24" customHeight="1">
      <c r="A25" s="7" t="s">
        <v>70</v>
      </c>
      <c r="B25" s="6" t="s">
        <v>1759</v>
      </c>
      <c r="C25" s="7" t="s">
        <v>1760</v>
      </c>
      <c r="D25" s="7" t="s">
        <v>45</v>
      </c>
      <c r="E25" s="7"/>
      <c r="F25" s="6" t="s">
        <v>1761</v>
      </c>
      <c r="L25" t="s">
        <v>1762</v>
      </c>
    </row>
    <row r="26" spans="1:12" ht="24" customHeight="1">
      <c r="A26" s="7" t="s">
        <v>613</v>
      </c>
      <c r="B26" s="6" t="s">
        <v>1763</v>
      </c>
      <c r="C26" s="7" t="s">
        <v>1760</v>
      </c>
      <c r="D26" s="7" t="s">
        <v>504</v>
      </c>
      <c r="E26" s="7"/>
      <c r="F26" s="6" t="s">
        <v>1764</v>
      </c>
      <c r="L26" t="s">
        <v>1765</v>
      </c>
    </row>
    <row r="27" spans="1:12" ht="36" customHeight="1">
      <c r="A27" s="7" t="s">
        <v>1766</v>
      </c>
      <c r="B27" s="6" t="s">
        <v>1767</v>
      </c>
      <c r="C27" s="7" t="s">
        <v>1768</v>
      </c>
      <c r="D27" s="7" t="s">
        <v>36</v>
      </c>
      <c r="E27" s="7" t="s">
        <v>1769</v>
      </c>
      <c r="F27" s="6" t="s">
        <v>1770</v>
      </c>
      <c r="L27" t="s">
        <v>900</v>
      </c>
    </row>
    <row r="28" spans="1:12" ht="24" customHeight="1">
      <c r="A28" s="7" t="s">
        <v>1771</v>
      </c>
      <c r="B28" s="6" t="s">
        <v>1772</v>
      </c>
      <c r="C28" s="7" t="s">
        <v>1773</v>
      </c>
      <c r="D28" s="33" t="s">
        <v>45</v>
      </c>
      <c r="E28" s="7"/>
      <c r="F28" s="34" t="s">
        <v>1774</v>
      </c>
      <c r="L28" t="s">
        <v>1377</v>
      </c>
    </row>
    <row r="29" spans="1:12" ht="27" customHeight="1">
      <c r="A29" s="7" t="s">
        <v>140</v>
      </c>
      <c r="B29" s="6" t="s">
        <v>1775</v>
      </c>
      <c r="C29" s="7" t="s">
        <v>1776</v>
      </c>
      <c r="D29" s="7" t="s">
        <v>36</v>
      </c>
      <c r="E29" s="7" t="s">
        <v>1777</v>
      </c>
      <c r="F29" s="6" t="s">
        <v>1778</v>
      </c>
      <c r="L29" t="s">
        <v>1011</v>
      </c>
    </row>
    <row r="30" spans="1:12" ht="27" customHeight="1">
      <c r="A30" s="7" t="s">
        <v>1779</v>
      </c>
      <c r="B30" s="6" t="s">
        <v>1780</v>
      </c>
      <c r="C30" s="7" t="s">
        <v>1781</v>
      </c>
      <c r="D30" s="7" t="s">
        <v>36</v>
      </c>
      <c r="E30" s="7"/>
      <c r="F30" s="6" t="s">
        <v>1782</v>
      </c>
      <c r="L30" t="s">
        <v>1389</v>
      </c>
    </row>
    <row r="31" spans="1:12" ht="27" customHeight="1">
      <c r="A31" s="7" t="s">
        <v>1308</v>
      </c>
      <c r="B31" s="6" t="s">
        <v>1783</v>
      </c>
      <c r="C31" s="7" t="s">
        <v>1781</v>
      </c>
      <c r="D31" s="7" t="s">
        <v>108</v>
      </c>
      <c r="E31" s="7"/>
      <c r="F31" s="6" t="s">
        <v>1784</v>
      </c>
      <c r="L31" t="s">
        <v>1785</v>
      </c>
    </row>
    <row r="32" spans="1:12" ht="27" customHeight="1">
      <c r="A32" s="7" t="s">
        <v>1786</v>
      </c>
      <c r="B32" s="6" t="s">
        <v>1787</v>
      </c>
      <c r="C32" s="7" t="s">
        <v>1788</v>
      </c>
      <c r="D32" s="7" t="s">
        <v>36</v>
      </c>
      <c r="E32" s="7"/>
      <c r="F32" s="6" t="s">
        <v>1789</v>
      </c>
    </row>
    <row r="33" spans="1:6" ht="27" customHeight="1">
      <c r="A33" s="7" t="s">
        <v>883</v>
      </c>
      <c r="B33" s="6" t="s">
        <v>1790</v>
      </c>
      <c r="C33" s="7" t="s">
        <v>1788</v>
      </c>
      <c r="D33" s="7" t="s">
        <v>108</v>
      </c>
      <c r="E33" s="7"/>
      <c r="F33" s="6" t="s">
        <v>1791</v>
      </c>
    </row>
    <row r="34" spans="1:6" ht="27" customHeight="1">
      <c r="A34" s="7" t="s">
        <v>107</v>
      </c>
      <c r="B34" s="6" t="s">
        <v>1792</v>
      </c>
      <c r="C34" s="7" t="s">
        <v>1793</v>
      </c>
      <c r="D34" s="7" t="s">
        <v>108</v>
      </c>
      <c r="E34" s="7" t="s">
        <v>1794</v>
      </c>
      <c r="F34" s="6" t="s">
        <v>1795</v>
      </c>
    </row>
    <row r="35" spans="1:6" ht="27" customHeight="1">
      <c r="A35" s="7" t="s">
        <v>1076</v>
      </c>
      <c r="B35" s="6" t="s">
        <v>1796</v>
      </c>
      <c r="C35" s="7" t="s">
        <v>1797</v>
      </c>
      <c r="D35" s="7" t="s">
        <v>45</v>
      </c>
      <c r="E35" s="7"/>
      <c r="F35" s="6" t="s">
        <v>1798</v>
      </c>
    </row>
    <row r="36" spans="1:6" ht="27" customHeight="1">
      <c r="A36" s="7" t="s">
        <v>309</v>
      </c>
      <c r="B36" s="6" t="s">
        <v>1799</v>
      </c>
      <c r="C36" s="7" t="s">
        <v>1800</v>
      </c>
      <c r="D36" s="7" t="s">
        <v>108</v>
      </c>
      <c r="E36" s="7" t="s">
        <v>1801</v>
      </c>
      <c r="F36" s="6" t="s">
        <v>1802</v>
      </c>
    </row>
    <row r="37" spans="1:6" ht="27" customHeight="1">
      <c r="A37" s="7" t="s">
        <v>412</v>
      </c>
      <c r="B37" s="6" t="s">
        <v>1803</v>
      </c>
      <c r="C37" s="7" t="s">
        <v>1804</v>
      </c>
      <c r="D37" s="7" t="s">
        <v>108</v>
      </c>
      <c r="E37" s="7" t="s">
        <v>1805</v>
      </c>
      <c r="F37" s="6" t="s">
        <v>1806</v>
      </c>
    </row>
    <row r="38" spans="1:6" ht="27" customHeight="1">
      <c r="A38" s="7" t="s">
        <v>489</v>
      </c>
      <c r="B38" s="6" t="s">
        <v>1807</v>
      </c>
      <c r="C38" s="7" t="s">
        <v>1793</v>
      </c>
      <c r="D38" s="7" t="s">
        <v>108</v>
      </c>
      <c r="E38" s="7" t="s">
        <v>1808</v>
      </c>
      <c r="F38" s="6" t="s">
        <v>1809</v>
      </c>
    </row>
    <row r="39" spans="1:6" ht="24" customHeight="1">
      <c r="A39" s="7" t="s">
        <v>1810</v>
      </c>
      <c r="B39" s="6" t="s">
        <v>1811</v>
      </c>
      <c r="C39" s="7" t="s">
        <v>1812</v>
      </c>
      <c r="D39" s="7" t="s">
        <v>36</v>
      </c>
      <c r="E39" s="7"/>
      <c r="F39" s="6" t="s">
        <v>1811</v>
      </c>
    </row>
    <row r="40" spans="1:6" ht="24" customHeight="1">
      <c r="A40" s="7" t="s">
        <v>424</v>
      </c>
      <c r="B40" s="6" t="s">
        <v>1813</v>
      </c>
      <c r="C40" s="7" t="s">
        <v>1812</v>
      </c>
      <c r="D40" s="7" t="s">
        <v>108</v>
      </c>
      <c r="E40" s="7"/>
      <c r="F40" s="6" t="s">
        <v>1813</v>
      </c>
    </row>
    <row r="41" spans="1:6" ht="27" customHeight="1">
      <c r="A41" s="7" t="s">
        <v>1086</v>
      </c>
      <c r="B41" s="6" t="s">
        <v>1814</v>
      </c>
      <c r="C41" s="7" t="s">
        <v>1815</v>
      </c>
      <c r="D41" s="7" t="s">
        <v>108</v>
      </c>
      <c r="E41" s="7" t="s">
        <v>1816</v>
      </c>
      <c r="F41" s="6" t="s">
        <v>1817</v>
      </c>
    </row>
    <row r="42" spans="1:6" ht="24" customHeight="1">
      <c r="A42" s="7" t="s">
        <v>1818</v>
      </c>
      <c r="B42" s="6" t="s">
        <v>1819</v>
      </c>
      <c r="C42" s="7" t="s">
        <v>1820</v>
      </c>
      <c r="D42" s="7" t="s">
        <v>36</v>
      </c>
      <c r="E42" s="7"/>
      <c r="F42" s="6" t="s">
        <v>1819</v>
      </c>
    </row>
    <row r="43" spans="1:6" ht="24" customHeight="1">
      <c r="A43" s="7" t="s">
        <v>1091</v>
      </c>
      <c r="B43" s="6" t="s">
        <v>1821</v>
      </c>
      <c r="C43" s="7" t="s">
        <v>1820</v>
      </c>
      <c r="D43" s="7" t="s">
        <v>108</v>
      </c>
      <c r="E43" s="7"/>
      <c r="F43" s="6" t="s">
        <v>1821</v>
      </c>
    </row>
    <row r="44" spans="1:6" ht="27" customHeight="1">
      <c r="A44" s="7" t="s">
        <v>356</v>
      </c>
      <c r="B44" s="6" t="s">
        <v>1822</v>
      </c>
      <c r="C44" s="7" t="s">
        <v>1823</v>
      </c>
      <c r="D44" s="7" t="s">
        <v>108</v>
      </c>
      <c r="E44" s="7" t="s">
        <v>1824</v>
      </c>
      <c r="F44" s="6" t="s">
        <v>1825</v>
      </c>
    </row>
    <row r="45" spans="1:6" ht="41.25" customHeight="1">
      <c r="A45" s="7" t="s">
        <v>1826</v>
      </c>
      <c r="B45" s="6" t="s">
        <v>1827</v>
      </c>
      <c r="C45" s="7" t="s">
        <v>1828</v>
      </c>
      <c r="D45" s="7" t="s">
        <v>36</v>
      </c>
      <c r="E45" s="7"/>
      <c r="F45" s="6" t="s">
        <v>1827</v>
      </c>
    </row>
    <row r="46" spans="1:6" ht="41.25" customHeight="1">
      <c r="A46" s="7" t="s">
        <v>1829</v>
      </c>
      <c r="B46" s="6" t="s">
        <v>1830</v>
      </c>
      <c r="C46" s="7" t="s">
        <v>1828</v>
      </c>
      <c r="D46" s="7" t="s">
        <v>108</v>
      </c>
      <c r="E46" s="7"/>
      <c r="F46" s="6" t="s">
        <v>1830</v>
      </c>
    </row>
    <row r="47" spans="1:6" ht="27" customHeight="1">
      <c r="A47" s="7" t="s">
        <v>561</v>
      </c>
      <c r="B47" s="6" t="s">
        <v>1831</v>
      </c>
      <c r="C47" s="7" t="s">
        <v>1832</v>
      </c>
      <c r="D47" s="7" t="s">
        <v>108</v>
      </c>
      <c r="E47" s="7" t="s">
        <v>1833</v>
      </c>
      <c r="F47" s="6" t="s">
        <v>1834</v>
      </c>
    </row>
    <row r="48" spans="1:6" ht="27" customHeight="1">
      <c r="A48" s="7" t="s">
        <v>593</v>
      </c>
      <c r="B48" s="6" t="s">
        <v>1835</v>
      </c>
      <c r="C48" s="7" t="s">
        <v>1836</v>
      </c>
      <c r="D48" s="7" t="s">
        <v>504</v>
      </c>
      <c r="E48" s="7" t="s">
        <v>1837</v>
      </c>
      <c r="F48" s="6" t="s">
        <v>1838</v>
      </c>
    </row>
    <row r="49" spans="1:6" ht="17.25" customHeight="1">
      <c r="A49" s="7" t="s">
        <v>1839</v>
      </c>
      <c r="B49" s="6" t="s">
        <v>1840</v>
      </c>
      <c r="C49" s="7"/>
      <c r="D49" s="33" t="s">
        <v>45</v>
      </c>
      <c r="E49" s="7"/>
      <c r="F49" s="6" t="s">
        <v>1841</v>
      </c>
    </row>
    <row r="50" spans="1:6" ht="17.25" customHeight="1">
      <c r="A50" s="7" t="s">
        <v>1842</v>
      </c>
      <c r="B50" s="6" t="s">
        <v>1843</v>
      </c>
      <c r="C50" s="7"/>
      <c r="D50" s="33" t="s">
        <v>45</v>
      </c>
      <c r="E50" s="7"/>
      <c r="F50" s="6" t="s">
        <v>1844</v>
      </c>
    </row>
    <row r="51" spans="1:6" ht="17.25" customHeight="1">
      <c r="A51" s="7" t="s">
        <v>1845</v>
      </c>
      <c r="B51" s="6" t="s">
        <v>1846</v>
      </c>
      <c r="C51" s="7" t="s">
        <v>1847</v>
      </c>
      <c r="D51" s="33" t="s">
        <v>45</v>
      </c>
      <c r="E51" s="7" t="s">
        <v>789</v>
      </c>
      <c r="F51" s="6" t="s">
        <v>1848</v>
      </c>
    </row>
    <row r="52" spans="1:6" ht="17.25" customHeight="1">
      <c r="A52" s="7" t="s">
        <v>1579</v>
      </c>
      <c r="B52" s="6" t="s">
        <v>1849</v>
      </c>
      <c r="C52" s="7" t="s">
        <v>1700</v>
      </c>
      <c r="D52" s="33" t="s">
        <v>45</v>
      </c>
      <c r="E52" s="7"/>
      <c r="F52" s="6" t="s">
        <v>1850</v>
      </c>
    </row>
    <row r="53" spans="1:6" ht="17.25" customHeight="1">
      <c r="A53" s="7" t="s">
        <v>1851</v>
      </c>
      <c r="B53" s="6" t="s">
        <v>1852</v>
      </c>
      <c r="C53" s="7" t="s">
        <v>11</v>
      </c>
      <c r="D53" s="33" t="s">
        <v>45</v>
      </c>
      <c r="E53" s="7"/>
      <c r="F53" s="6" t="s">
        <v>1853</v>
      </c>
    </row>
    <row r="54" spans="1:6" ht="41.25" customHeight="1">
      <c r="A54" s="7" t="s">
        <v>1854</v>
      </c>
      <c r="B54" s="6" t="s">
        <v>1855</v>
      </c>
      <c r="C54" s="7" t="s">
        <v>11</v>
      </c>
      <c r="D54" s="7" t="s">
        <v>45</v>
      </c>
      <c r="E54" s="7"/>
      <c r="F54" s="6" t="s">
        <v>1856</v>
      </c>
    </row>
    <row r="55" spans="1:6" ht="27" customHeight="1">
      <c r="A55" s="7" t="s">
        <v>789</v>
      </c>
      <c r="B55" s="6" t="s">
        <v>1857</v>
      </c>
      <c r="C55" s="7" t="s">
        <v>1858</v>
      </c>
      <c r="D55" s="7" t="s">
        <v>45</v>
      </c>
      <c r="E55" s="7"/>
      <c r="F55" s="6" t="s">
        <v>1859</v>
      </c>
    </row>
    <row r="56" spans="1:6" ht="24" customHeight="1">
      <c r="A56" s="7" t="s">
        <v>1860</v>
      </c>
      <c r="B56" s="6" t="s">
        <v>1772</v>
      </c>
      <c r="C56" s="7" t="s">
        <v>1861</v>
      </c>
      <c r="D56" s="33" t="s">
        <v>45</v>
      </c>
      <c r="E56" s="7"/>
      <c r="F56" s="34" t="s">
        <v>1774</v>
      </c>
    </row>
    <row r="57" spans="1:6" ht="27" customHeight="1">
      <c r="A57" s="7" t="s">
        <v>1862</v>
      </c>
      <c r="B57" s="6" t="s">
        <v>1863</v>
      </c>
      <c r="C57" s="7" t="s">
        <v>11</v>
      </c>
      <c r="D57" s="33" t="s">
        <v>45</v>
      </c>
      <c r="E57" s="7"/>
      <c r="F57" s="33" t="s">
        <v>1864</v>
      </c>
    </row>
    <row r="58" spans="1:6" ht="27" customHeight="1">
      <c r="A58" s="7" t="s">
        <v>1865</v>
      </c>
      <c r="B58" s="6" t="s">
        <v>1866</v>
      </c>
      <c r="C58" s="7" t="s">
        <v>11</v>
      </c>
      <c r="D58" s="7" t="s">
        <v>45</v>
      </c>
      <c r="E58" s="7"/>
      <c r="F58" s="7" t="s">
        <v>1867</v>
      </c>
    </row>
    <row r="59" spans="1:6" ht="17.25" customHeight="1">
      <c r="A59" s="7" t="s">
        <v>418</v>
      </c>
      <c r="B59" s="6" t="s">
        <v>1868</v>
      </c>
      <c r="C59" s="29" t="s">
        <v>1869</v>
      </c>
      <c r="D59" s="7" t="s">
        <v>108</v>
      </c>
      <c r="E59" s="27" t="s">
        <v>1712</v>
      </c>
      <c r="F59" s="6" t="s">
        <v>1868</v>
      </c>
    </row>
    <row r="60" spans="1:6" ht="27" customHeight="1">
      <c r="A60" s="7" t="s">
        <v>1327</v>
      </c>
      <c r="B60" s="6" t="s">
        <v>1870</v>
      </c>
      <c r="C60" s="7" t="s">
        <v>1871</v>
      </c>
      <c r="D60" s="7" t="s">
        <v>45</v>
      </c>
      <c r="E60" s="7"/>
      <c r="F60" s="6" t="s">
        <v>1872</v>
      </c>
    </row>
    <row r="61" spans="1:6" ht="27" customHeight="1">
      <c r="A61" s="7" t="s">
        <v>174</v>
      </c>
      <c r="B61" s="6" t="s">
        <v>1873</v>
      </c>
      <c r="C61" s="7" t="s">
        <v>1703</v>
      </c>
      <c r="D61" s="7" t="s">
        <v>108</v>
      </c>
      <c r="E61" s="7" t="s">
        <v>1874</v>
      </c>
      <c r="F61" s="6" t="s">
        <v>1875</v>
      </c>
    </row>
    <row r="62" spans="1:6" ht="24" customHeight="1">
      <c r="A62" s="7" t="s">
        <v>672</v>
      </c>
      <c r="B62" s="6" t="s">
        <v>1876</v>
      </c>
      <c r="C62" s="7" t="s">
        <v>1861</v>
      </c>
      <c r="D62" s="7" t="s">
        <v>504</v>
      </c>
      <c r="E62" s="7" t="s">
        <v>1860</v>
      </c>
      <c r="F62" s="6" t="s">
        <v>1877</v>
      </c>
    </row>
    <row r="63" spans="1:6" ht="27" customHeight="1">
      <c r="A63" s="7" t="s">
        <v>474</v>
      </c>
      <c r="B63" s="6" t="s">
        <v>1878</v>
      </c>
      <c r="C63" s="7" t="s">
        <v>1776</v>
      </c>
      <c r="D63" s="7" t="s">
        <v>108</v>
      </c>
      <c r="E63" s="7" t="s">
        <v>1879</v>
      </c>
      <c r="F63" s="6" t="s">
        <v>1880</v>
      </c>
    </row>
    <row r="64" spans="1:6" ht="27" customHeight="1">
      <c r="A64" s="7" t="s">
        <v>350</v>
      </c>
      <c r="B64" s="6" t="s">
        <v>1881</v>
      </c>
      <c r="C64" s="7" t="s">
        <v>1722</v>
      </c>
      <c r="D64" s="7" t="s">
        <v>108</v>
      </c>
      <c r="E64" s="7" t="s">
        <v>1882</v>
      </c>
      <c r="F64" s="6" t="s">
        <v>1883</v>
      </c>
    </row>
    <row r="65" spans="1:6" ht="27" customHeight="1">
      <c r="A65" s="7" t="s">
        <v>228</v>
      </c>
      <c r="B65" s="6" t="s">
        <v>1884</v>
      </c>
      <c r="C65" s="7" t="s">
        <v>1885</v>
      </c>
      <c r="D65" s="7" t="s">
        <v>45</v>
      </c>
      <c r="E65" s="7" t="s">
        <v>1886</v>
      </c>
      <c r="F65" s="6" t="s">
        <v>1887</v>
      </c>
    </row>
    <row r="66" spans="1:6" ht="27" customHeight="1">
      <c r="A66" s="7" t="s">
        <v>129</v>
      </c>
      <c r="B66" s="6" t="s">
        <v>1888</v>
      </c>
      <c r="C66" s="7" t="s">
        <v>1800</v>
      </c>
      <c r="D66" s="7" t="s">
        <v>36</v>
      </c>
      <c r="E66" s="7" t="s">
        <v>1889</v>
      </c>
      <c r="F66" s="6" t="s">
        <v>1890</v>
      </c>
    </row>
    <row r="67" spans="1:6" ht="27" customHeight="1">
      <c r="A67" s="7" t="s">
        <v>1891</v>
      </c>
      <c r="B67" s="6" t="s">
        <v>1892</v>
      </c>
      <c r="C67" s="7" t="s">
        <v>1804</v>
      </c>
      <c r="D67" s="7" t="s">
        <v>36</v>
      </c>
      <c r="E67" s="7" t="s">
        <v>1893</v>
      </c>
      <c r="F67" s="6" t="s">
        <v>1894</v>
      </c>
    </row>
    <row r="68" spans="1:6" ht="27" customHeight="1">
      <c r="A68" s="7" t="s">
        <v>1895</v>
      </c>
      <c r="B68" s="6" t="s">
        <v>1896</v>
      </c>
      <c r="C68" s="7" t="s">
        <v>1815</v>
      </c>
      <c r="D68" s="7" t="s">
        <v>36</v>
      </c>
      <c r="E68" s="7" t="s">
        <v>1897</v>
      </c>
      <c r="F68" s="6" t="s">
        <v>1898</v>
      </c>
    </row>
    <row r="69" spans="1:6" ht="27" customHeight="1">
      <c r="A69" s="7" t="s">
        <v>1899</v>
      </c>
      <c r="B69" s="6" t="s">
        <v>1900</v>
      </c>
      <c r="C69" s="7" t="s">
        <v>1823</v>
      </c>
      <c r="D69" s="7" t="s">
        <v>36</v>
      </c>
      <c r="E69" s="7" t="s">
        <v>1901</v>
      </c>
      <c r="F69" s="6" t="s">
        <v>1902</v>
      </c>
    </row>
    <row r="70" spans="1:6" ht="27" customHeight="1">
      <c r="A70" s="7" t="s">
        <v>1903</v>
      </c>
      <c r="B70" s="6" t="s">
        <v>1904</v>
      </c>
      <c r="C70" s="7" t="s">
        <v>1905</v>
      </c>
      <c r="D70" s="7" t="s">
        <v>36</v>
      </c>
      <c r="E70" s="7"/>
      <c r="F70" s="6" t="s">
        <v>1906</v>
      </c>
    </row>
    <row r="71" spans="1:6" ht="27" customHeight="1">
      <c r="A71" s="7" t="s">
        <v>1371</v>
      </c>
      <c r="B71" s="6" t="s">
        <v>1907</v>
      </c>
      <c r="C71" s="7" t="s">
        <v>1905</v>
      </c>
      <c r="D71" s="7" t="s">
        <v>108</v>
      </c>
      <c r="E71" s="7" t="s">
        <v>1903</v>
      </c>
      <c r="F71" s="6" t="s">
        <v>1908</v>
      </c>
    </row>
    <row r="72" spans="1:6" ht="27" customHeight="1">
      <c r="A72" s="7" t="s">
        <v>179</v>
      </c>
      <c r="B72" s="6" t="s">
        <v>1909</v>
      </c>
      <c r="C72" s="7" t="s">
        <v>1910</v>
      </c>
      <c r="D72" s="7" t="s">
        <v>36</v>
      </c>
      <c r="E72" s="7" t="s">
        <v>1911</v>
      </c>
      <c r="F72" s="6" t="s">
        <v>1912</v>
      </c>
    </row>
    <row r="73" spans="1:6" ht="27" customHeight="1">
      <c r="A73" s="7" t="s">
        <v>362</v>
      </c>
      <c r="B73" s="6" t="s">
        <v>1913</v>
      </c>
      <c r="C73" s="7" t="s">
        <v>1910</v>
      </c>
      <c r="D73" s="7" t="s">
        <v>108</v>
      </c>
      <c r="E73" s="7" t="s">
        <v>1914</v>
      </c>
      <c r="F73" s="6" t="s">
        <v>1915</v>
      </c>
    </row>
    <row r="74" spans="1:6" ht="27" customHeight="1">
      <c r="A74" s="7" t="s">
        <v>1916</v>
      </c>
      <c r="B74" s="6" t="s">
        <v>1917</v>
      </c>
      <c r="C74" s="7" t="s">
        <v>1918</v>
      </c>
      <c r="D74" s="7" t="s">
        <v>45</v>
      </c>
      <c r="E74" s="7"/>
      <c r="F74" s="6" t="s">
        <v>1919</v>
      </c>
    </row>
    <row r="75" spans="1:6" ht="27" customHeight="1">
      <c r="A75" s="7" t="s">
        <v>250</v>
      </c>
      <c r="B75" s="6" t="s">
        <v>1920</v>
      </c>
      <c r="C75" s="7" t="s">
        <v>1921</v>
      </c>
      <c r="D75" s="7" t="s">
        <v>45</v>
      </c>
      <c r="E75" s="7" t="s">
        <v>1922</v>
      </c>
      <c r="F75" s="6" t="s">
        <v>1923</v>
      </c>
    </row>
    <row r="76" spans="1:6" ht="27" customHeight="1">
      <c r="A76" s="7" t="s">
        <v>678</v>
      </c>
      <c r="B76" s="6" t="s">
        <v>1924</v>
      </c>
      <c r="C76" s="7" t="s">
        <v>1768</v>
      </c>
      <c r="D76" s="7" t="s">
        <v>45</v>
      </c>
      <c r="E76" s="7" t="s">
        <v>1925</v>
      </c>
      <c r="F76" s="6" t="s">
        <v>1926</v>
      </c>
    </row>
    <row r="77" spans="1:6" ht="27" customHeight="1">
      <c r="A77" s="7" t="s">
        <v>214</v>
      </c>
      <c r="B77" s="6" t="s">
        <v>1927</v>
      </c>
      <c r="C77" s="7" t="s">
        <v>1928</v>
      </c>
      <c r="D77" s="7" t="s">
        <v>45</v>
      </c>
      <c r="E77" s="7" t="s">
        <v>1929</v>
      </c>
      <c r="F77" s="6" t="s">
        <v>1930</v>
      </c>
    </row>
    <row r="78" spans="1:6" ht="27" customHeight="1">
      <c r="A78" s="7" t="s">
        <v>315</v>
      </c>
      <c r="B78" s="6" t="s">
        <v>1931</v>
      </c>
      <c r="C78" s="7" t="s">
        <v>1932</v>
      </c>
      <c r="D78" s="7" t="s">
        <v>45</v>
      </c>
      <c r="E78" s="7" t="s">
        <v>1933</v>
      </c>
      <c r="F78" s="6" t="s">
        <v>1934</v>
      </c>
    </row>
    <row r="79" spans="1:6" ht="27" customHeight="1">
      <c r="A79" s="7" t="s">
        <v>158</v>
      </c>
      <c r="B79" s="6" t="s">
        <v>1935</v>
      </c>
      <c r="C79" s="7" t="s">
        <v>1768</v>
      </c>
      <c r="D79" s="7" t="s">
        <v>45</v>
      </c>
      <c r="E79" s="7" t="s">
        <v>1936</v>
      </c>
      <c r="F79" s="6" t="s">
        <v>1937</v>
      </c>
    </row>
    <row r="80" spans="1:6" ht="27" customHeight="1">
      <c r="A80" s="7" t="s">
        <v>152</v>
      </c>
      <c r="B80" s="6" t="s">
        <v>1938</v>
      </c>
      <c r="C80" s="7" t="s">
        <v>1776</v>
      </c>
      <c r="D80" s="7" t="s">
        <v>36</v>
      </c>
      <c r="E80" s="7" t="s">
        <v>1939</v>
      </c>
      <c r="F80" s="6" t="s">
        <v>1940</v>
      </c>
    </row>
    <row r="81" spans="1:6" ht="27" customHeight="1">
      <c r="A81" s="7" t="s">
        <v>335</v>
      </c>
      <c r="B81" s="6" t="s">
        <v>1941</v>
      </c>
      <c r="C81" s="7" t="s">
        <v>1776</v>
      </c>
      <c r="D81" s="7" t="s">
        <v>108</v>
      </c>
      <c r="E81" s="7" t="s">
        <v>1942</v>
      </c>
      <c r="F81" s="6" t="s">
        <v>1943</v>
      </c>
    </row>
    <row r="82" spans="1:6" ht="27" customHeight="1">
      <c r="A82" s="7" t="s">
        <v>1944</v>
      </c>
      <c r="B82" s="6" t="s">
        <v>1945</v>
      </c>
      <c r="C82" s="7" t="s">
        <v>1946</v>
      </c>
      <c r="D82" s="7" t="s">
        <v>36</v>
      </c>
      <c r="E82" s="7" t="s">
        <v>1947</v>
      </c>
      <c r="F82" s="6" t="s">
        <v>1948</v>
      </c>
    </row>
    <row r="83" spans="1:6" ht="27" customHeight="1">
      <c r="A83" s="7" t="s">
        <v>1427</v>
      </c>
      <c r="B83" s="6" t="s">
        <v>1949</v>
      </c>
      <c r="C83" s="7" t="s">
        <v>1946</v>
      </c>
      <c r="D83" s="7" t="s">
        <v>108</v>
      </c>
      <c r="E83" s="7" t="s">
        <v>1950</v>
      </c>
      <c r="F83" s="6" t="s">
        <v>1951</v>
      </c>
    </row>
    <row r="84" spans="1:6" ht="27" customHeight="1">
      <c r="A84" s="7" t="s">
        <v>321</v>
      </c>
      <c r="B84" s="6" t="s">
        <v>1952</v>
      </c>
      <c r="C84" s="7" t="s">
        <v>1953</v>
      </c>
      <c r="D84" s="7" t="s">
        <v>36</v>
      </c>
      <c r="E84" s="7" t="s">
        <v>1954</v>
      </c>
      <c r="F84" s="6" t="s">
        <v>1955</v>
      </c>
    </row>
    <row r="85" spans="1:6" ht="27" customHeight="1">
      <c r="A85" s="7" t="s">
        <v>550</v>
      </c>
      <c r="B85" s="6" t="s">
        <v>1956</v>
      </c>
      <c r="C85" s="7" t="s">
        <v>1953</v>
      </c>
      <c r="D85" s="7" t="s">
        <v>108</v>
      </c>
      <c r="E85" s="7" t="s">
        <v>1957</v>
      </c>
      <c r="F85" s="6" t="s">
        <v>1958</v>
      </c>
    </row>
    <row r="86" spans="1:6" ht="27.6" customHeight="1">
      <c r="A86" s="7" t="s">
        <v>1338</v>
      </c>
      <c r="B86" s="64" t="s">
        <v>1959</v>
      </c>
      <c r="C86" s="7" t="s">
        <v>1960</v>
      </c>
      <c r="D86" s="7" t="s">
        <v>45</v>
      </c>
      <c r="E86" s="7"/>
      <c r="F86" s="64" t="s">
        <v>1961</v>
      </c>
    </row>
    <row r="87" spans="1:6" ht="27.6" customHeight="1">
      <c r="A87" s="7" t="s">
        <v>1962</v>
      </c>
      <c r="B87" s="64" t="s">
        <v>1963</v>
      </c>
      <c r="C87" s="7" t="s">
        <v>1964</v>
      </c>
      <c r="D87" s="7" t="s">
        <v>45</v>
      </c>
      <c r="E87" s="7"/>
      <c r="F87" s="64" t="s">
        <v>1965</v>
      </c>
    </row>
    <row r="88" spans="1:6" ht="24" customHeight="1">
      <c r="A88" s="7" t="s">
        <v>1966</v>
      </c>
      <c r="B88" s="64" t="s">
        <v>1967</v>
      </c>
      <c r="C88" s="7" t="s">
        <v>1968</v>
      </c>
      <c r="D88" s="7" t="s">
        <v>36</v>
      </c>
      <c r="E88" s="7"/>
      <c r="F88" s="64" t="s">
        <v>1969</v>
      </c>
    </row>
    <row r="89" spans="1:6" ht="24" customHeight="1">
      <c r="A89" s="7" t="s">
        <v>1348</v>
      </c>
      <c r="B89" s="64" t="s">
        <v>1970</v>
      </c>
      <c r="C89" s="7" t="s">
        <v>1968</v>
      </c>
      <c r="D89" s="7" t="s">
        <v>108</v>
      </c>
      <c r="E89" s="7" t="s">
        <v>1966</v>
      </c>
      <c r="F89" s="64" t="s">
        <v>1971</v>
      </c>
    </row>
    <row r="90" spans="1:6" ht="24" customHeight="1">
      <c r="A90" s="7" t="s">
        <v>1972</v>
      </c>
      <c r="B90" s="64" t="s">
        <v>1973</v>
      </c>
      <c r="C90" s="7" t="s">
        <v>1974</v>
      </c>
      <c r="D90" s="7" t="s">
        <v>36</v>
      </c>
      <c r="E90" s="7" t="s">
        <v>1975</v>
      </c>
      <c r="F90" s="64" t="s">
        <v>1976</v>
      </c>
    </row>
    <row r="91" spans="1:6" ht="24" customHeight="1">
      <c r="A91" s="7" t="s">
        <v>899</v>
      </c>
      <c r="B91" s="64" t="s">
        <v>1977</v>
      </c>
      <c r="C91" s="7" t="s">
        <v>1974</v>
      </c>
      <c r="D91" s="7" t="s">
        <v>108</v>
      </c>
      <c r="E91" s="7" t="s">
        <v>1978</v>
      </c>
      <c r="F91" s="64" t="s">
        <v>1979</v>
      </c>
    </row>
    <row r="92" spans="1:6" ht="24" customHeight="1">
      <c r="A92" s="7" t="s">
        <v>1980</v>
      </c>
      <c r="B92" s="64" t="s">
        <v>1981</v>
      </c>
      <c r="C92" s="7" t="s">
        <v>1982</v>
      </c>
      <c r="D92" s="7" t="s">
        <v>36</v>
      </c>
      <c r="E92" s="7"/>
      <c r="F92" s="64" t="s">
        <v>1983</v>
      </c>
    </row>
    <row r="93" spans="1:6" ht="24" customHeight="1">
      <c r="A93" s="7" t="s">
        <v>1383</v>
      </c>
      <c r="B93" s="64" t="s">
        <v>1984</v>
      </c>
      <c r="C93" s="7" t="s">
        <v>1982</v>
      </c>
      <c r="D93" s="7" t="s">
        <v>108</v>
      </c>
      <c r="E93" s="7" t="s">
        <v>1980</v>
      </c>
      <c r="F93" s="64" t="s">
        <v>1985</v>
      </c>
    </row>
    <row r="94" spans="1:6" ht="36" customHeight="1">
      <c r="A94" s="7" t="s">
        <v>1986</v>
      </c>
      <c r="B94" s="64" t="s">
        <v>1987</v>
      </c>
      <c r="C94" s="7" t="s">
        <v>1988</v>
      </c>
      <c r="D94" s="7" t="s">
        <v>36</v>
      </c>
      <c r="E94" s="7" t="s">
        <v>1989</v>
      </c>
      <c r="F94" s="64" t="s">
        <v>1990</v>
      </c>
    </row>
    <row r="95" spans="1:6" ht="36" customHeight="1">
      <c r="A95" s="7" t="s">
        <v>1376</v>
      </c>
      <c r="B95" s="64" t="s">
        <v>1991</v>
      </c>
      <c r="C95" s="7" t="s">
        <v>1988</v>
      </c>
      <c r="D95" s="7" t="s">
        <v>108</v>
      </c>
      <c r="E95" s="7" t="s">
        <v>1992</v>
      </c>
      <c r="F95" s="64" t="s">
        <v>1993</v>
      </c>
    </row>
    <row r="96" spans="1:6" ht="24" customHeight="1">
      <c r="A96" s="7" t="s">
        <v>1994</v>
      </c>
      <c r="B96" s="64" t="s">
        <v>1995</v>
      </c>
      <c r="C96" s="7" t="s">
        <v>1996</v>
      </c>
      <c r="D96" s="7" t="s">
        <v>36</v>
      </c>
      <c r="E96" s="7"/>
      <c r="F96" s="64" t="s">
        <v>1997</v>
      </c>
    </row>
    <row r="97" spans="1:6" ht="24" customHeight="1">
      <c r="A97" s="7" t="s">
        <v>1399</v>
      </c>
      <c r="B97" s="64" t="s">
        <v>1998</v>
      </c>
      <c r="C97" s="7" t="s">
        <v>1996</v>
      </c>
      <c r="D97" s="7" t="s">
        <v>108</v>
      </c>
      <c r="E97" s="7" t="s">
        <v>1994</v>
      </c>
      <c r="F97" s="64" t="s">
        <v>1999</v>
      </c>
    </row>
    <row r="98" spans="1:6" ht="36" customHeight="1">
      <c r="A98" s="7" t="s">
        <v>2000</v>
      </c>
      <c r="B98" s="64" t="s">
        <v>2001</v>
      </c>
      <c r="C98" s="7" t="s">
        <v>2002</v>
      </c>
      <c r="D98" s="7" t="s">
        <v>36</v>
      </c>
      <c r="E98" s="7" t="s">
        <v>2003</v>
      </c>
      <c r="F98" s="64" t="s">
        <v>2004</v>
      </c>
    </row>
    <row r="99" spans="1:6" ht="36" customHeight="1">
      <c r="A99" s="7" t="s">
        <v>1388</v>
      </c>
      <c r="B99" s="64" t="s">
        <v>2005</v>
      </c>
      <c r="C99" s="7" t="s">
        <v>2002</v>
      </c>
      <c r="D99" s="7" t="s">
        <v>108</v>
      </c>
      <c r="E99" s="7" t="s">
        <v>2006</v>
      </c>
      <c r="F99" s="64" t="s">
        <v>2007</v>
      </c>
    </row>
    <row r="100" spans="1:6" ht="24" customHeight="1">
      <c r="A100" s="7" t="s">
        <v>239</v>
      </c>
      <c r="B100" s="64" t="s">
        <v>2008</v>
      </c>
      <c r="C100" s="7" t="s">
        <v>2009</v>
      </c>
      <c r="D100" s="7" t="s">
        <v>45</v>
      </c>
      <c r="E100" s="7" t="s">
        <v>2010</v>
      </c>
      <c r="F100" s="64" t="s">
        <v>2011</v>
      </c>
    </row>
    <row r="101" spans="1:6" ht="36" customHeight="1">
      <c r="A101" s="7" t="s">
        <v>328</v>
      </c>
      <c r="B101" s="64" t="s">
        <v>2012</v>
      </c>
      <c r="C101" s="7" t="s">
        <v>2013</v>
      </c>
      <c r="D101" s="7" t="s">
        <v>45</v>
      </c>
      <c r="E101" s="7" t="s">
        <v>2014</v>
      </c>
      <c r="F101" s="64" t="s">
        <v>2015</v>
      </c>
    </row>
    <row r="102" spans="1:6" ht="24" customHeight="1">
      <c r="A102" s="7" t="s">
        <v>185</v>
      </c>
      <c r="B102" s="64" t="s">
        <v>2016</v>
      </c>
      <c r="C102" s="7" t="s">
        <v>2017</v>
      </c>
      <c r="D102" s="7" t="s">
        <v>45</v>
      </c>
      <c r="E102" s="7" t="s">
        <v>2018</v>
      </c>
      <c r="F102" s="64" t="s">
        <v>2019</v>
      </c>
    </row>
    <row r="103" spans="1:6" ht="36" customHeight="1">
      <c r="A103" s="7" t="s">
        <v>191</v>
      </c>
      <c r="B103" s="64" t="s">
        <v>2020</v>
      </c>
      <c r="C103" s="7" t="s">
        <v>2021</v>
      </c>
      <c r="D103" s="7" t="s">
        <v>36</v>
      </c>
      <c r="E103" s="7" t="s">
        <v>2022</v>
      </c>
      <c r="F103" s="64" t="s">
        <v>2023</v>
      </c>
    </row>
    <row r="104" spans="1:6" ht="36" customHeight="1">
      <c r="A104" s="7" t="s">
        <v>279</v>
      </c>
      <c r="B104" s="64" t="s">
        <v>2024</v>
      </c>
      <c r="C104" s="7" t="s">
        <v>2025</v>
      </c>
      <c r="D104" s="7" t="s">
        <v>36</v>
      </c>
      <c r="E104" s="7" t="s">
        <v>2026</v>
      </c>
      <c r="F104" s="64" t="s">
        <v>2027</v>
      </c>
    </row>
    <row r="105" spans="1:6" ht="36" customHeight="1">
      <c r="A105" s="7" t="s">
        <v>197</v>
      </c>
      <c r="B105" s="64" t="s">
        <v>2028</v>
      </c>
      <c r="C105" s="7" t="s">
        <v>2021</v>
      </c>
      <c r="D105" s="7" t="s">
        <v>108</v>
      </c>
      <c r="E105" s="7" t="s">
        <v>2029</v>
      </c>
      <c r="F105" s="64" t="s">
        <v>2030</v>
      </c>
    </row>
    <row r="106" spans="1:6" ht="36" customHeight="1">
      <c r="A106" s="7" t="s">
        <v>2031</v>
      </c>
      <c r="B106" s="64" t="s">
        <v>2032</v>
      </c>
      <c r="C106" s="7" t="s">
        <v>11</v>
      </c>
      <c r="D106" s="7" t="s">
        <v>36</v>
      </c>
      <c r="E106" s="7"/>
      <c r="F106" s="64" t="s">
        <v>2033</v>
      </c>
    </row>
    <row r="107" spans="1:6" ht="24" customHeight="1">
      <c r="A107" s="7" t="s">
        <v>2034</v>
      </c>
      <c r="B107" s="64" t="s">
        <v>2035</v>
      </c>
      <c r="C107" s="7" t="s">
        <v>2036</v>
      </c>
      <c r="D107" s="7" t="s">
        <v>45</v>
      </c>
      <c r="E107" s="7" t="s">
        <v>2037</v>
      </c>
      <c r="F107" s="64" t="s">
        <v>2038</v>
      </c>
    </row>
    <row r="108" spans="1:6" ht="24" customHeight="1">
      <c r="A108" s="7" t="s">
        <v>2039</v>
      </c>
      <c r="B108" s="64" t="s">
        <v>2040</v>
      </c>
      <c r="C108" s="7" t="s">
        <v>1836</v>
      </c>
      <c r="D108" s="7" t="s">
        <v>45</v>
      </c>
      <c r="E108" s="7" t="s">
        <v>2041</v>
      </c>
      <c r="F108" s="64" t="s">
        <v>2042</v>
      </c>
    </row>
    <row r="109" spans="1:6" ht="36" customHeight="1">
      <c r="A109" s="7" t="s">
        <v>392</v>
      </c>
      <c r="B109" s="64" t="s">
        <v>2043</v>
      </c>
      <c r="C109" s="7" t="s">
        <v>2044</v>
      </c>
      <c r="D109" s="7" t="s">
        <v>36</v>
      </c>
      <c r="E109" s="7" t="s">
        <v>2045</v>
      </c>
      <c r="F109" s="64" t="s">
        <v>2046</v>
      </c>
    </row>
    <row r="110" spans="1:6" ht="36" customHeight="1">
      <c r="A110" s="7" t="s">
        <v>468</v>
      </c>
      <c r="B110" s="64" t="s">
        <v>2047</v>
      </c>
      <c r="C110" s="7" t="s">
        <v>2048</v>
      </c>
      <c r="D110" s="7" t="s">
        <v>36</v>
      </c>
      <c r="E110" s="7" t="s">
        <v>2049</v>
      </c>
      <c r="F110" s="64" t="s">
        <v>2050</v>
      </c>
    </row>
    <row r="111" spans="1:6" ht="36" customHeight="1">
      <c r="A111" s="7" t="s">
        <v>509</v>
      </c>
      <c r="B111" s="64" t="s">
        <v>2051</v>
      </c>
      <c r="C111" s="7" t="s">
        <v>2036</v>
      </c>
      <c r="D111" s="7" t="s">
        <v>45</v>
      </c>
      <c r="E111" s="7" t="s">
        <v>2052</v>
      </c>
      <c r="F111" s="64" t="s">
        <v>2053</v>
      </c>
    </row>
    <row r="112" spans="1:6" ht="24" customHeight="1">
      <c r="A112" s="7" t="s">
        <v>503</v>
      </c>
      <c r="B112" s="64" t="s">
        <v>2054</v>
      </c>
      <c r="C112" s="7" t="s">
        <v>1885</v>
      </c>
      <c r="D112" s="7" t="s">
        <v>504</v>
      </c>
      <c r="E112" s="7" t="s">
        <v>2055</v>
      </c>
      <c r="F112" s="64" t="s">
        <v>2056</v>
      </c>
    </row>
    <row r="113" spans="1:6" ht="24" customHeight="1">
      <c r="A113" s="7" t="s">
        <v>520</v>
      </c>
      <c r="B113" s="64" t="s">
        <v>2057</v>
      </c>
      <c r="C113" s="7" t="s">
        <v>1760</v>
      </c>
      <c r="D113" s="7" t="s">
        <v>504</v>
      </c>
      <c r="E113" s="7" t="s">
        <v>2058</v>
      </c>
      <c r="F113" s="64" t="s">
        <v>2059</v>
      </c>
    </row>
    <row r="114" spans="1:6" ht="36" customHeight="1">
      <c r="A114" s="7" t="s">
        <v>833</v>
      </c>
      <c r="B114" s="64" t="s">
        <v>2060</v>
      </c>
      <c r="C114" s="7" t="s">
        <v>2061</v>
      </c>
      <c r="D114" s="7" t="s">
        <v>36</v>
      </c>
      <c r="E114" s="7" t="s">
        <v>2062</v>
      </c>
      <c r="F114" s="64" t="s">
        <v>2063</v>
      </c>
    </row>
    <row r="115" spans="1:6" ht="24" customHeight="1">
      <c r="A115" s="7" t="s">
        <v>863</v>
      </c>
      <c r="B115" s="64" t="s">
        <v>2064</v>
      </c>
      <c r="C115" s="7" t="s">
        <v>1928</v>
      </c>
      <c r="D115" s="7" t="s">
        <v>36</v>
      </c>
      <c r="E115" s="7" t="s">
        <v>2065</v>
      </c>
      <c r="F115" s="64" t="s">
        <v>2066</v>
      </c>
    </row>
    <row r="116" spans="1:6" ht="24" customHeight="1">
      <c r="A116" s="7" t="s">
        <v>857</v>
      </c>
      <c r="B116" s="64" t="s">
        <v>2067</v>
      </c>
      <c r="C116" s="7" t="s">
        <v>1760</v>
      </c>
      <c r="D116" s="7" t="s">
        <v>45</v>
      </c>
      <c r="E116" s="7" t="s">
        <v>2068</v>
      </c>
      <c r="F116" s="64" t="s">
        <v>2069</v>
      </c>
    </row>
    <row r="117" spans="1:6" ht="24" customHeight="1">
      <c r="A117" s="7" t="s">
        <v>877</v>
      </c>
      <c r="B117" s="64" t="s">
        <v>2070</v>
      </c>
      <c r="C117" s="7" t="s">
        <v>2071</v>
      </c>
      <c r="D117" s="7" t="s">
        <v>45</v>
      </c>
      <c r="E117" s="7" t="s">
        <v>2072</v>
      </c>
      <c r="F117" s="64" t="s">
        <v>2073</v>
      </c>
    </row>
    <row r="118" spans="1:6" ht="36" customHeight="1">
      <c r="A118" s="7" t="s">
        <v>927</v>
      </c>
      <c r="B118" s="64" t="s">
        <v>2074</v>
      </c>
      <c r="C118" s="7" t="s">
        <v>2075</v>
      </c>
      <c r="D118" s="7" t="s">
        <v>36</v>
      </c>
      <c r="E118" s="7" t="s">
        <v>2076</v>
      </c>
      <c r="F118" s="64" t="s">
        <v>2077</v>
      </c>
    </row>
    <row r="119" spans="1:6" ht="36" customHeight="1">
      <c r="A119" s="7" t="s">
        <v>1010</v>
      </c>
      <c r="B119" s="64" t="s">
        <v>2078</v>
      </c>
      <c r="C119" s="7" t="s">
        <v>2079</v>
      </c>
      <c r="D119" s="7" t="s">
        <v>45</v>
      </c>
      <c r="E119" s="7" t="s">
        <v>2080</v>
      </c>
      <c r="F119" s="64" t="s">
        <v>2081</v>
      </c>
    </row>
    <row r="120" spans="1:6" ht="36" customHeight="1">
      <c r="A120" s="7" t="s">
        <v>2082</v>
      </c>
      <c r="B120" s="64" t="s">
        <v>2083</v>
      </c>
      <c r="C120" s="7" t="s">
        <v>11</v>
      </c>
      <c r="D120" s="7" t="s">
        <v>45</v>
      </c>
      <c r="E120" s="7"/>
      <c r="F120" s="64" t="s">
        <v>2084</v>
      </c>
    </row>
    <row r="121" spans="1:6" ht="24" customHeight="1">
      <c r="A121" s="7" t="s">
        <v>2085</v>
      </c>
      <c r="B121" s="64" t="s">
        <v>2086</v>
      </c>
      <c r="C121" s="7" t="s">
        <v>1714</v>
      </c>
      <c r="D121" s="7" t="s">
        <v>108</v>
      </c>
      <c r="E121" s="7" t="s">
        <v>2087</v>
      </c>
      <c r="F121" s="64" t="s">
        <v>2088</v>
      </c>
    </row>
  </sheetData>
  <mergeCells count="1">
    <mergeCell ref="A2:E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opLeftCell="A3" zoomScaleNormal="100" zoomScalePageLayoutView="60" workbookViewId="0">
      <selection activeCell="L29" sqref="L29"/>
    </sheetView>
  </sheetViews>
  <sheetFormatPr defaultColWidth="8.59765625" defaultRowHeight="17.399999999999999"/>
  <cols>
    <col min="1" max="1" width="8.296875" customWidth="1"/>
    <col min="2" max="2" width="21.296875" customWidth="1"/>
    <col min="3" max="3" width="11.59765625" customWidth="1"/>
    <col min="4" max="4" width="11.09765625" customWidth="1"/>
    <col min="5" max="5" width="9.19921875" customWidth="1"/>
    <col min="6" max="6" width="6.19921875" customWidth="1"/>
    <col min="7" max="7" width="44.69921875" customWidth="1"/>
    <col min="8" max="8" width="15.5" customWidth="1"/>
    <col min="9" max="9" width="16.296875" customWidth="1"/>
    <col min="12" max="12" width="10" customWidth="1"/>
    <col min="13" max="13" width="17.59765625" customWidth="1"/>
  </cols>
  <sheetData>
    <row r="1" spans="1:14" ht="27" customHeight="1">
      <c r="A1" s="35" t="s">
        <v>2089</v>
      </c>
    </row>
    <row r="2" spans="1:14" ht="17.25" customHeight="1">
      <c r="A2" s="93" t="s">
        <v>2090</v>
      </c>
      <c r="B2" s="92"/>
      <c r="C2" s="92"/>
      <c r="D2" s="92"/>
      <c r="E2" s="92"/>
      <c r="F2" s="92"/>
      <c r="G2" s="92"/>
    </row>
    <row r="3" spans="1:14" ht="17.25" customHeight="1">
      <c r="A3" s="93" t="s">
        <v>2091</v>
      </c>
      <c r="B3" s="92"/>
      <c r="C3" s="92"/>
      <c r="D3" s="92"/>
      <c r="E3" s="92"/>
      <c r="F3" s="92"/>
      <c r="G3" s="92"/>
    </row>
    <row r="4" spans="1:14" ht="42.75" customHeight="1">
      <c r="B4" s="37" t="s">
        <v>2092</v>
      </c>
      <c r="C4" s="38" t="s">
        <v>2093</v>
      </c>
      <c r="D4" s="39" t="s">
        <v>2094</v>
      </c>
      <c r="E4" s="39" t="s">
        <v>2095</v>
      </c>
      <c r="F4" s="39" t="s">
        <v>2096</v>
      </c>
      <c r="G4" s="39" t="s">
        <v>2097</v>
      </c>
      <c r="H4" s="40" t="s">
        <v>2098</v>
      </c>
      <c r="I4" s="39" t="s">
        <v>1697</v>
      </c>
    </row>
    <row r="5" spans="1:14" ht="17.25" customHeight="1">
      <c r="B5" s="33" t="s">
        <v>2099</v>
      </c>
      <c r="C5" s="41" t="s">
        <v>1758</v>
      </c>
      <c r="D5" s="42" t="s">
        <v>2100</v>
      </c>
      <c r="E5" s="43" t="s">
        <v>2100</v>
      </c>
      <c r="F5" s="43" t="s">
        <v>2101</v>
      </c>
      <c r="G5" s="34" t="s">
        <v>2102</v>
      </c>
      <c r="H5" s="33"/>
      <c r="I5" s="34" t="s">
        <v>2103</v>
      </c>
      <c r="L5" s="44" t="s">
        <v>2104</v>
      </c>
      <c r="M5" s="45" t="s">
        <v>2105</v>
      </c>
      <c r="N5" s="43" t="s">
        <v>2106</v>
      </c>
    </row>
    <row r="6" spans="1:14" ht="17.25" customHeight="1">
      <c r="B6" s="33" t="s">
        <v>2107</v>
      </c>
      <c r="C6" s="41" t="s">
        <v>425</v>
      </c>
      <c r="D6" s="42" t="s">
        <v>2108</v>
      </c>
      <c r="E6" s="43" t="s">
        <v>2109</v>
      </c>
      <c r="F6" s="43" t="s">
        <v>2101</v>
      </c>
      <c r="G6" s="34" t="s">
        <v>2110</v>
      </c>
      <c r="H6" s="33"/>
      <c r="I6" s="34" t="s">
        <v>2103</v>
      </c>
      <c r="L6" s="44" t="s">
        <v>2111</v>
      </c>
      <c r="M6" s="45" t="s">
        <v>2112</v>
      </c>
      <c r="N6" s="43" t="s">
        <v>2101</v>
      </c>
    </row>
    <row r="7" spans="1:14" ht="27" customHeight="1">
      <c r="B7" s="33" t="s">
        <v>2107</v>
      </c>
      <c r="C7" s="41" t="s">
        <v>900</v>
      </c>
      <c r="D7" s="42" t="s">
        <v>2108</v>
      </c>
      <c r="E7" s="43" t="s">
        <v>2113</v>
      </c>
      <c r="F7" s="43" t="s">
        <v>2101</v>
      </c>
      <c r="G7" s="34" t="s">
        <v>2110</v>
      </c>
      <c r="H7" s="33" t="s">
        <v>2114</v>
      </c>
      <c r="I7" s="34" t="s">
        <v>2103</v>
      </c>
      <c r="L7" s="44" t="s">
        <v>2115</v>
      </c>
      <c r="M7" s="45" t="s">
        <v>2116</v>
      </c>
    </row>
    <row r="8" spans="1:14" ht="17.25" customHeight="1">
      <c r="B8" s="33" t="s">
        <v>2117</v>
      </c>
      <c r="C8" s="41" t="s">
        <v>53</v>
      </c>
      <c r="D8" s="42" t="s">
        <v>2118</v>
      </c>
      <c r="E8" s="43" t="s">
        <v>2118</v>
      </c>
      <c r="F8" s="43" t="s">
        <v>2106</v>
      </c>
      <c r="G8" s="33" t="s">
        <v>2119</v>
      </c>
      <c r="H8" s="46" t="s">
        <v>2114</v>
      </c>
      <c r="I8" s="34" t="s">
        <v>2103</v>
      </c>
      <c r="L8" s="44" t="s">
        <v>2120</v>
      </c>
      <c r="M8" s="45" t="s">
        <v>2121</v>
      </c>
    </row>
    <row r="9" spans="1:14" ht="17.25" customHeight="1">
      <c r="B9" s="33" t="s">
        <v>2122</v>
      </c>
      <c r="C9" s="41" t="s">
        <v>1762</v>
      </c>
      <c r="D9" s="42" t="s">
        <v>2123</v>
      </c>
      <c r="E9" s="43" t="s">
        <v>2123</v>
      </c>
      <c r="F9" s="43" t="s">
        <v>2106</v>
      </c>
      <c r="G9" s="34" t="s">
        <v>2124</v>
      </c>
      <c r="H9" s="47" t="s">
        <v>2125</v>
      </c>
      <c r="I9" s="48" t="s">
        <v>2103</v>
      </c>
      <c r="L9" s="44" t="s">
        <v>2126</v>
      </c>
      <c r="M9" s="45" t="s">
        <v>2127</v>
      </c>
    </row>
    <row r="10" spans="1:14" ht="17.25" customHeight="1">
      <c r="B10" s="33" t="s">
        <v>2128</v>
      </c>
      <c r="C10" s="41" t="s">
        <v>1765</v>
      </c>
      <c r="D10" s="42" t="s">
        <v>2129</v>
      </c>
      <c r="E10" s="43" t="s">
        <v>2129</v>
      </c>
      <c r="F10" s="43" t="s">
        <v>2106</v>
      </c>
      <c r="G10" s="34" t="s">
        <v>2130</v>
      </c>
      <c r="H10" s="33" t="s">
        <v>2114</v>
      </c>
      <c r="I10" s="33"/>
      <c r="L10" s="44" t="s">
        <v>2131</v>
      </c>
      <c r="M10" s="45" t="s">
        <v>2132</v>
      </c>
    </row>
    <row r="11" spans="1:14" ht="17.25" customHeight="1">
      <c r="B11" s="33" t="s">
        <v>2133</v>
      </c>
      <c r="C11" s="41" t="s">
        <v>109</v>
      </c>
      <c r="D11" s="42" t="s">
        <v>2134</v>
      </c>
      <c r="E11" s="43" t="s">
        <v>2134</v>
      </c>
      <c r="F11" s="43" t="s">
        <v>2101</v>
      </c>
      <c r="G11" s="34" t="s">
        <v>2135</v>
      </c>
      <c r="H11" s="33" t="s">
        <v>2136</v>
      </c>
      <c r="I11" s="33"/>
    </row>
    <row r="12" spans="1:14" ht="17.25" customHeight="1">
      <c r="B12" s="33" t="s">
        <v>2137</v>
      </c>
      <c r="C12" s="41" t="s">
        <v>562</v>
      </c>
      <c r="D12" s="42" t="s">
        <v>2138</v>
      </c>
      <c r="E12" s="43" t="s">
        <v>2138</v>
      </c>
      <c r="F12" s="43" t="s">
        <v>2101</v>
      </c>
      <c r="G12" s="34" t="s">
        <v>2139</v>
      </c>
      <c r="H12" s="33"/>
      <c r="I12" s="34" t="s">
        <v>2140</v>
      </c>
    </row>
    <row r="13" spans="1:14" ht="17.25" customHeight="1">
      <c r="B13" s="33" t="s">
        <v>2141</v>
      </c>
      <c r="C13" s="41" t="s">
        <v>180</v>
      </c>
      <c r="D13" s="42" t="s">
        <v>2142</v>
      </c>
      <c r="E13" s="43" t="s">
        <v>2142</v>
      </c>
      <c r="F13" s="43" t="s">
        <v>2101</v>
      </c>
      <c r="G13" s="34" t="s">
        <v>2143</v>
      </c>
      <c r="H13" s="33"/>
      <c r="I13" s="34" t="s">
        <v>2140</v>
      </c>
    </row>
    <row r="14" spans="1:14" ht="17.25" customHeight="1">
      <c r="B14" s="33" t="s">
        <v>2144</v>
      </c>
      <c r="C14" s="41" t="s">
        <v>413</v>
      </c>
      <c r="D14" s="42" t="s">
        <v>2145</v>
      </c>
      <c r="E14" s="43" t="s">
        <v>2146</v>
      </c>
      <c r="F14" s="43" t="s">
        <v>2101</v>
      </c>
      <c r="G14" s="34" t="s">
        <v>2147</v>
      </c>
      <c r="H14" s="33"/>
      <c r="I14" s="33"/>
    </row>
    <row r="15" spans="1:14" ht="17.25" customHeight="1">
      <c r="B15" s="33" t="s">
        <v>2144</v>
      </c>
      <c r="C15" s="41" t="s">
        <v>1377</v>
      </c>
      <c r="D15" s="42" t="s">
        <v>2145</v>
      </c>
      <c r="E15" s="43" t="s">
        <v>2148</v>
      </c>
      <c r="F15" s="43" t="s">
        <v>2101</v>
      </c>
      <c r="G15" s="34" t="s">
        <v>2147</v>
      </c>
      <c r="H15" s="33"/>
      <c r="I15" s="33"/>
    </row>
    <row r="16" spans="1:14" ht="17.25" customHeight="1">
      <c r="B16" s="33" t="s">
        <v>2149</v>
      </c>
      <c r="C16" s="41" t="s">
        <v>130</v>
      </c>
      <c r="D16" s="42" t="s">
        <v>2150</v>
      </c>
      <c r="E16" s="43" t="s">
        <v>2151</v>
      </c>
      <c r="F16" s="43" t="s">
        <v>2101</v>
      </c>
      <c r="G16" s="34" t="s">
        <v>2152</v>
      </c>
      <c r="H16" s="33"/>
      <c r="I16" s="33"/>
    </row>
    <row r="17" spans="2:9" ht="17.25" customHeight="1">
      <c r="B17" s="33" t="s">
        <v>2153</v>
      </c>
      <c r="C17" s="41" t="s">
        <v>71</v>
      </c>
      <c r="D17" s="42" t="s">
        <v>2154</v>
      </c>
      <c r="E17" s="43" t="s">
        <v>2154</v>
      </c>
      <c r="F17" s="43" t="s">
        <v>2106</v>
      </c>
      <c r="G17" s="34" t="s">
        <v>2155</v>
      </c>
      <c r="H17" s="33"/>
      <c r="I17" s="33"/>
    </row>
    <row r="18" spans="2:9" ht="17.25" customHeight="1">
      <c r="B18" s="33" t="s">
        <v>2156</v>
      </c>
      <c r="C18" s="41" t="s">
        <v>159</v>
      </c>
      <c r="D18" s="42" t="s">
        <v>2157</v>
      </c>
      <c r="E18" s="43" t="s">
        <v>2158</v>
      </c>
      <c r="F18" s="43" t="s">
        <v>2106</v>
      </c>
      <c r="G18" s="34" t="s">
        <v>2159</v>
      </c>
      <c r="H18" s="33"/>
      <c r="I18" s="33"/>
    </row>
    <row r="19" spans="2:9" ht="17.25" customHeight="1">
      <c r="B19" s="33" t="s">
        <v>2156</v>
      </c>
      <c r="C19" s="41" t="s">
        <v>229</v>
      </c>
      <c r="D19" s="42" t="s">
        <v>2157</v>
      </c>
      <c r="E19" s="43" t="s">
        <v>2157</v>
      </c>
      <c r="F19" s="43" t="s">
        <v>2106</v>
      </c>
      <c r="G19" s="34" t="s">
        <v>2159</v>
      </c>
      <c r="H19" s="33" t="s">
        <v>2114</v>
      </c>
      <c r="I19" s="33"/>
    </row>
    <row r="20" spans="2:9" ht="17.25" customHeight="1">
      <c r="B20" s="33" t="s">
        <v>2160</v>
      </c>
      <c r="C20" s="41" t="s">
        <v>101</v>
      </c>
      <c r="D20" s="42" t="s">
        <v>2161</v>
      </c>
      <c r="E20" s="43" t="s">
        <v>2161</v>
      </c>
      <c r="F20" s="43" t="s">
        <v>2106</v>
      </c>
      <c r="G20" s="34" t="s">
        <v>2162</v>
      </c>
      <c r="H20" s="33" t="s">
        <v>2114</v>
      </c>
      <c r="I20" s="33"/>
    </row>
    <row r="21" spans="2:9" ht="17.25" customHeight="1">
      <c r="B21" s="33" t="s">
        <v>2163</v>
      </c>
      <c r="C21" s="41" t="s">
        <v>329</v>
      </c>
      <c r="D21" s="42" t="s">
        <v>2164</v>
      </c>
      <c r="E21" s="43" t="s">
        <v>2164</v>
      </c>
      <c r="F21" s="43" t="s">
        <v>2106</v>
      </c>
      <c r="G21" s="34" t="s">
        <v>2165</v>
      </c>
      <c r="H21" s="33" t="s">
        <v>2114</v>
      </c>
      <c r="I21" s="33"/>
    </row>
    <row r="22" spans="2:9" ht="27" customHeight="1">
      <c r="B22" s="33" t="s">
        <v>2163</v>
      </c>
      <c r="C22" s="41" t="s">
        <v>322</v>
      </c>
      <c r="D22" s="42" t="s">
        <v>2164</v>
      </c>
      <c r="E22" s="43" t="s">
        <v>2166</v>
      </c>
      <c r="F22" s="43" t="s">
        <v>2106</v>
      </c>
      <c r="G22" s="34" t="s">
        <v>2165</v>
      </c>
      <c r="H22" s="33" t="s">
        <v>2114</v>
      </c>
      <c r="I22" s="33" t="s">
        <v>2167</v>
      </c>
    </row>
    <row r="23" spans="2:9" ht="24" customHeight="1">
      <c r="B23" s="33" t="s">
        <v>2163</v>
      </c>
      <c r="C23" s="41" t="s">
        <v>1785</v>
      </c>
      <c r="D23" s="42" t="s">
        <v>2164</v>
      </c>
      <c r="E23" s="63" t="s">
        <v>2168</v>
      </c>
      <c r="F23" s="43" t="s">
        <v>2106</v>
      </c>
      <c r="G23" s="34" t="s">
        <v>2165</v>
      </c>
      <c r="H23" s="33" t="s">
        <v>2114</v>
      </c>
      <c r="I23" s="33" t="s">
        <v>2167</v>
      </c>
    </row>
    <row r="24" spans="2:9" ht="27" customHeight="1">
      <c r="B24" s="33" t="s">
        <v>2163</v>
      </c>
      <c r="C24" s="41" t="s">
        <v>1011</v>
      </c>
      <c r="D24" s="42" t="s">
        <v>2164</v>
      </c>
      <c r="E24" s="43" t="s">
        <v>2169</v>
      </c>
      <c r="F24" s="43" t="s">
        <v>2106</v>
      </c>
      <c r="G24" s="34" t="s">
        <v>2165</v>
      </c>
      <c r="H24" s="33" t="s">
        <v>2114</v>
      </c>
      <c r="I24" s="33"/>
    </row>
    <row r="25" spans="2:9" ht="24" customHeight="1">
      <c r="B25" s="33" t="s">
        <v>2170</v>
      </c>
      <c r="C25" s="41" t="s">
        <v>357</v>
      </c>
      <c r="D25" s="42" t="s">
        <v>2171</v>
      </c>
      <c r="E25" s="43" t="s">
        <v>2171</v>
      </c>
      <c r="F25" s="43" t="s">
        <v>2101</v>
      </c>
      <c r="G25" s="34" t="s">
        <v>2172</v>
      </c>
      <c r="H25" s="33" t="s">
        <v>2114</v>
      </c>
      <c r="I25" s="33" t="s">
        <v>2167</v>
      </c>
    </row>
    <row r="26" spans="2:9" ht="27" customHeight="1">
      <c r="B26" s="41" t="s">
        <v>2170</v>
      </c>
      <c r="C26" s="41" t="s">
        <v>1389</v>
      </c>
      <c r="D26" s="49" t="s">
        <v>2171</v>
      </c>
      <c r="E26" s="49" t="s">
        <v>2173</v>
      </c>
      <c r="F26" s="49" t="s">
        <v>2101</v>
      </c>
      <c r="G26" s="49" t="s">
        <v>2172</v>
      </c>
      <c r="H26" s="41" t="s">
        <v>38</v>
      </c>
      <c r="I26" s="41" t="s">
        <v>38</v>
      </c>
    </row>
    <row r="27" spans="2:9" ht="27" customHeight="1">
      <c r="B27" s="33" t="s">
        <v>2174</v>
      </c>
      <c r="C27" s="41" t="s">
        <v>251</v>
      </c>
      <c r="D27" s="42" t="s">
        <v>2175</v>
      </c>
      <c r="E27" s="43" t="s">
        <v>2175</v>
      </c>
      <c r="F27" s="43" t="s">
        <v>2106</v>
      </c>
      <c r="G27" s="34" t="s">
        <v>2176</v>
      </c>
      <c r="H27" s="33" t="s">
        <v>2114</v>
      </c>
      <c r="I27" s="33" t="s">
        <v>2167</v>
      </c>
    </row>
    <row r="28" spans="2:9" ht="27" customHeight="1">
      <c r="B28" s="33" t="s">
        <v>2177</v>
      </c>
      <c r="C28" s="41" t="s">
        <v>94</v>
      </c>
      <c r="D28" s="42" t="s">
        <v>2178</v>
      </c>
      <c r="E28" s="43" t="s">
        <v>2178</v>
      </c>
      <c r="F28" s="43" t="s">
        <v>2101</v>
      </c>
      <c r="G28" s="34" t="s">
        <v>2179</v>
      </c>
      <c r="H28" s="33" t="s">
        <v>2114</v>
      </c>
      <c r="I28" s="33"/>
    </row>
    <row r="29" spans="2:9" ht="27" customHeight="1">
      <c r="B29" s="33" t="s">
        <v>2180</v>
      </c>
      <c r="C29" s="41" t="s">
        <v>316</v>
      </c>
      <c r="D29" s="42" t="s">
        <v>2181</v>
      </c>
      <c r="E29" s="43" t="s">
        <v>2181</v>
      </c>
      <c r="F29" s="43" t="s">
        <v>2106</v>
      </c>
      <c r="G29" s="34" t="s">
        <v>2182</v>
      </c>
      <c r="H29" s="33" t="s">
        <v>2114</v>
      </c>
      <c r="I29" s="33" t="s">
        <v>2167</v>
      </c>
    </row>
    <row r="30" spans="2:9" ht="17.25" customHeight="1">
      <c r="B30" s="33" t="s">
        <v>2183</v>
      </c>
      <c r="C30" s="41" t="s">
        <v>19</v>
      </c>
      <c r="D30" s="42" t="s">
        <v>2184</v>
      </c>
      <c r="E30" s="43" t="s">
        <v>2184</v>
      </c>
      <c r="F30" s="43" t="s">
        <v>2101</v>
      </c>
      <c r="G30" s="34" t="s">
        <v>2185</v>
      </c>
      <c r="H30" s="33" t="s">
        <v>2186</v>
      </c>
      <c r="I30" s="33" t="s">
        <v>2187</v>
      </c>
    </row>
    <row r="31" spans="2:9" ht="17.25" customHeight="1">
      <c r="B31" s="33" t="s">
        <v>38</v>
      </c>
      <c r="C31" s="41" t="s">
        <v>38</v>
      </c>
      <c r="D31" s="42" t="s">
        <v>38</v>
      </c>
      <c r="E31" s="43" t="s">
        <v>38</v>
      </c>
      <c r="F31" s="43" t="s">
        <v>38</v>
      </c>
      <c r="G31" s="34" t="s">
        <v>38</v>
      </c>
      <c r="H31" s="33" t="s">
        <v>38</v>
      </c>
      <c r="I31" s="33" t="s">
        <v>38</v>
      </c>
    </row>
    <row r="32" spans="2:9" ht="17.25" customHeight="1">
      <c r="B32" s="50"/>
      <c r="C32" s="50"/>
      <c r="D32" s="50"/>
      <c r="E32" s="50"/>
      <c r="F32" s="50"/>
    </row>
    <row r="33" spans="2:6" ht="17.25" customHeight="1">
      <c r="B33" s="50"/>
      <c r="C33" s="50"/>
      <c r="D33" s="50"/>
      <c r="E33" s="50"/>
      <c r="F33" s="50"/>
    </row>
    <row r="34" spans="2:6" ht="17.25" customHeight="1">
      <c r="B34" s="50"/>
      <c r="C34" s="50"/>
      <c r="D34" s="50"/>
      <c r="E34" s="50"/>
      <c r="F34" s="50"/>
    </row>
    <row r="35" spans="2:6" ht="17.25" customHeight="1">
      <c r="B35" s="50"/>
      <c r="C35" s="50"/>
      <c r="D35" s="50"/>
      <c r="E35" s="50"/>
      <c r="F35" s="50"/>
    </row>
    <row r="36" spans="2:6" ht="17.25" customHeight="1">
      <c r="B36" s="50"/>
      <c r="C36" s="50"/>
      <c r="D36" s="50"/>
      <c r="E36" s="50"/>
      <c r="F36" s="50"/>
    </row>
    <row r="37" spans="2:6" ht="17.25" customHeight="1">
      <c r="B37" s="50"/>
      <c r="C37" s="50"/>
      <c r="D37" s="50"/>
      <c r="E37" s="50"/>
      <c r="F37" s="50"/>
    </row>
    <row r="38" spans="2:6" ht="17.25" customHeight="1">
      <c r="B38" s="50"/>
      <c r="C38" s="50"/>
      <c r="D38" s="50"/>
      <c r="E38" s="50"/>
      <c r="F38" s="50"/>
    </row>
    <row r="39" spans="2:6" ht="17.25" customHeight="1">
      <c r="B39" s="50"/>
      <c r="C39" s="50"/>
      <c r="D39" s="50"/>
      <c r="E39" s="50"/>
      <c r="F39" s="50"/>
    </row>
    <row r="40" spans="2:6" ht="17.25" customHeight="1">
      <c r="B40" s="50"/>
      <c r="C40" s="50"/>
      <c r="D40" s="50"/>
      <c r="E40" s="50"/>
      <c r="F40" s="50"/>
    </row>
    <row r="41" spans="2:6" ht="17.25" customHeight="1">
      <c r="B41" s="50"/>
      <c r="C41" s="50"/>
      <c r="D41" s="50"/>
      <c r="E41" s="50"/>
      <c r="F41" s="50"/>
    </row>
    <row r="42" spans="2:6" ht="17.25" customHeight="1">
      <c r="B42" s="50"/>
      <c r="C42" s="50"/>
      <c r="D42" s="50"/>
      <c r="E42" s="50"/>
      <c r="F42" s="50"/>
    </row>
    <row r="43" spans="2:6" ht="17.25" customHeight="1">
      <c r="B43" s="50"/>
      <c r="C43" s="50"/>
      <c r="D43" s="50"/>
      <c r="E43" s="50"/>
      <c r="F43" s="50"/>
    </row>
    <row r="44" spans="2:6" ht="17.25" customHeight="1">
      <c r="B44" s="50"/>
      <c r="C44" s="50"/>
      <c r="D44" s="50"/>
      <c r="E44" s="50"/>
      <c r="F44" s="50"/>
    </row>
    <row r="45" spans="2:6" ht="17.25" customHeight="1">
      <c r="B45" s="50"/>
      <c r="C45" s="50"/>
      <c r="D45" s="50"/>
      <c r="E45" s="50"/>
      <c r="F45" s="50"/>
    </row>
    <row r="46" spans="2:6" ht="17.25" customHeight="1">
      <c r="B46" s="50"/>
      <c r="C46" s="50"/>
      <c r="D46" s="50"/>
      <c r="E46" s="50"/>
      <c r="F46" s="50"/>
    </row>
    <row r="47" spans="2:6" ht="17.25" customHeight="1">
      <c r="B47" s="50"/>
      <c r="C47" s="50"/>
      <c r="D47" s="50"/>
      <c r="E47" s="50"/>
      <c r="F47" s="50"/>
    </row>
    <row r="48" spans="2:6" ht="17.25" customHeight="1">
      <c r="B48" s="50"/>
      <c r="C48" s="50"/>
      <c r="D48" s="50"/>
      <c r="E48" s="50"/>
      <c r="F48" s="50"/>
    </row>
    <row r="49" spans="2:6" ht="17.25" customHeight="1">
      <c r="B49" s="50"/>
      <c r="C49" s="50"/>
      <c r="D49" s="50"/>
      <c r="E49" s="50"/>
      <c r="F49" s="50"/>
    </row>
  </sheetData>
  <autoFilter ref="B4:I23" xr:uid="{00000000-0009-0000-0000-000003000000}"/>
  <mergeCells count="2">
    <mergeCell ref="A3:G3"/>
    <mergeCell ref="A2:G2"/>
  </mergeCells>
  <phoneticPr fontId="24" type="noConversion"/>
  <dataValidations count="1">
    <dataValidation type="list" showInputMessage="1" showErrorMessage="1" sqref="E27 F5:F25" xr:uid="{00000000-0002-0000-0300-000000000000}">
      <formula1>$N$5:$N$6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8"/>
  <sheetViews>
    <sheetView zoomScaleNormal="100" zoomScalePageLayoutView="60" workbookViewId="0">
      <selection activeCell="T2" sqref="T2"/>
    </sheetView>
  </sheetViews>
  <sheetFormatPr defaultColWidth="8.59765625" defaultRowHeight="17.399999999999999"/>
  <cols>
    <col min="1" max="1" width="20" bestFit="1" customWidth="1"/>
    <col min="2" max="2" width="21.09765625" customWidth="1"/>
    <col min="3" max="3" width="42.5" customWidth="1"/>
    <col min="4" max="4" width="8.19921875" customWidth="1"/>
    <col min="5" max="5" width="19.69921875" customWidth="1"/>
    <col min="6" max="6" width="16" customWidth="1"/>
    <col min="7" max="7" width="15.5" bestFit="1" customWidth="1"/>
    <col min="8" max="8" width="9.59765625" customWidth="1"/>
    <col min="9" max="9" width="10.19921875" customWidth="1"/>
    <col min="10" max="10" width="11.296875" customWidth="1"/>
    <col min="11" max="11" width="11" customWidth="1"/>
    <col min="12" max="12" width="7.59765625" customWidth="1"/>
    <col min="13" max="13" width="16.09765625" customWidth="1"/>
    <col min="14" max="14" width="18.69921875" customWidth="1"/>
    <col min="15" max="15" width="19" customWidth="1"/>
    <col min="16" max="18" width="18" customWidth="1"/>
    <col min="19" max="19" width="20" customWidth="1"/>
    <col min="20" max="20" width="28" customWidth="1"/>
    <col min="21" max="21" width="28.59765625" bestFit="1" customWidth="1"/>
  </cols>
  <sheetData>
    <row r="1" spans="1:21" ht="17.25" customHeight="1">
      <c r="P1" s="92"/>
      <c r="Q1" s="92"/>
      <c r="S1" s="51"/>
    </row>
    <row r="2" spans="1:21" ht="17.25" customHeight="1">
      <c r="A2" s="52"/>
      <c r="B2" s="52"/>
      <c r="M2" s="53"/>
      <c r="N2" s="36" t="s">
        <v>2188</v>
      </c>
      <c r="P2" s="94"/>
      <c r="Q2" s="94"/>
      <c r="R2" s="52"/>
      <c r="S2" s="54"/>
      <c r="T2" t="s">
        <v>2189</v>
      </c>
      <c r="U2" t="s">
        <v>2190</v>
      </c>
    </row>
    <row r="3" spans="1:21" ht="35.25" customHeight="1">
      <c r="A3" s="55" t="s">
        <v>0</v>
      </c>
      <c r="B3" s="55" t="s">
        <v>2191</v>
      </c>
      <c r="C3" s="55" t="s">
        <v>2192</v>
      </c>
      <c r="D3" s="55" t="s">
        <v>1698</v>
      </c>
      <c r="E3" s="55" t="s">
        <v>2193</v>
      </c>
      <c r="F3" s="55" t="s">
        <v>7</v>
      </c>
      <c r="G3" s="55" t="s">
        <v>8</v>
      </c>
      <c r="H3" s="55" t="s">
        <v>11</v>
      </c>
      <c r="I3" s="55" t="s">
        <v>12</v>
      </c>
      <c r="J3" s="55" t="s">
        <v>13</v>
      </c>
      <c r="K3" s="55" t="s">
        <v>16</v>
      </c>
      <c r="L3" s="55" t="s">
        <v>2194</v>
      </c>
      <c r="M3" s="55" t="s">
        <v>17</v>
      </c>
      <c r="N3" s="55" t="s">
        <v>18</v>
      </c>
      <c r="O3" s="55" t="s">
        <v>2195</v>
      </c>
      <c r="P3" s="55" t="s">
        <v>3</v>
      </c>
      <c r="Q3" s="55" t="s">
        <v>26</v>
      </c>
      <c r="R3" s="55" t="s">
        <v>27</v>
      </c>
      <c r="S3" s="55" t="s">
        <v>2196</v>
      </c>
      <c r="T3" s="67" t="s">
        <v>2197</v>
      </c>
      <c r="U3" s="67" t="s">
        <v>2198</v>
      </c>
    </row>
    <row r="4" spans="1:21">
      <c r="A4" s="56" t="s">
        <v>2199</v>
      </c>
      <c r="B4" s="57" t="s">
        <v>2200</v>
      </c>
      <c r="C4" s="57" t="s">
        <v>2201</v>
      </c>
      <c r="D4" s="56" t="s">
        <v>34</v>
      </c>
      <c r="E4" s="56" t="s">
        <v>2202</v>
      </c>
      <c r="F4" s="56" t="s">
        <v>70</v>
      </c>
      <c r="G4" s="56" t="s">
        <v>45</v>
      </c>
      <c r="H4" s="56">
        <v>0</v>
      </c>
      <c r="I4" s="56"/>
      <c r="J4" s="56">
        <v>0</v>
      </c>
      <c r="K4" s="56" t="s">
        <v>71</v>
      </c>
      <c r="L4" s="56"/>
      <c r="M4" s="56">
        <v>1</v>
      </c>
      <c r="N4" s="56">
        <v>-1</v>
      </c>
      <c r="O4" s="56">
        <v>-1</v>
      </c>
      <c r="P4" s="56" t="s">
        <v>1242</v>
      </c>
      <c r="Q4" s="68">
        <f>IF(E4="OnGainRelic", 0, IF(OR(P4="Quest", P4="Monster", P4="Event", D4="Basic", D4="Upgrade"), -1, MIN(IFERROR(VLOOKUP(D4, Relic_Price_Config!$A$5:$E$9, 4, FALSE), 350), MAX(IFERROR(VLOOKUP(D4, Relic_Price_Config!$A$5:$E$9, 3, FALSE), 210), ROUND((IFERROR(VLOOKUP(F4, Relic_Price_Config!$G$5:$N$100, 4, FALSE), 280) + N(H4) * IFERROR(VLOOKUP(F4, Relic_Price_Config!$G$5:$N$100, 5, FALSE), 10) + ABS(N(M4)) * IFERROR(VLOOKUP(F4, Relic_Price_Config!$G$5:$N$100, 6, FALSE), 15) + IF(N(N4)&gt;1, (N(N4)-1)*10, 0)) * IFERROR(VLOOKUP(D4, Relic_Price_Config!$A$5:$E$9, 2, FALSE), 1), 0)))))</f>
        <v>305</v>
      </c>
      <c r="R4" s="68">
        <f t="shared" ref="R4:R35" si="0">IF(OR(E4="OnGainRelic", O4&gt;0), 0, ROUND((IF(Q4&gt;0, Q4, T4)*0.7)/5, 0)*5)</f>
        <v>215</v>
      </c>
      <c r="S4" s="68">
        <f t="shared" ref="S4:S35" si="1">IF(OR(E4="OnGainRelic", O4&gt;0), 0, ROUND((IF(Q4&gt;0, Q4, T4)*1.3)/5, 0)*5)</f>
        <v>395</v>
      </c>
      <c r="T4" s="68">
        <f>IF(E4="OnGainRelic", 0, MIN(IFERROR(VLOOKUP(D4, Relic_Price_Config!$A$5:$E$9, 4, FALSE), 350), MAX(IFERROR(VLOOKUP(D4, Relic_Price_Config!$A$5:$E$9, 3, FALSE), 210), ROUND((IFERROR(VLOOKUP(F4, Relic_Price_Config!$G$5:$N$100, 4, FALSE), 280) + N(H4) * IFERROR(VLOOKUP(F4, Relic_Price_Config!$G$5:$N$100, 5, FALSE), 10) + ABS(N(M4)) * IFERROR(VLOOKUP(F4, Relic_Price_Config!$G$5:$N$100, 6, FALSE), 15) + IF(N(N4)&gt;1, (N(N4)-1)*10, 0)) * IFERROR(VLOOKUP(D4, Relic_Price_Config!$A$5:$E$9, 2, FALSE), 1), 0))))</f>
        <v>305</v>
      </c>
      <c r="U4" s="56" t="str">
        <f>IF(E4="OnGainRelic", "획득 시 즉발 (0원)", IFERROR(VLOOKUP(F4, Relic_Price_Config!$G$5:$N$100, 2, FALSE), "기타 효과"))</f>
        <v>공격 증가 [아군 공격 상승]</v>
      </c>
    </row>
    <row r="5" spans="1:21" ht="17.25" customHeight="1">
      <c r="A5" s="56" t="s">
        <v>2203</v>
      </c>
      <c r="B5" s="57" t="s">
        <v>2204</v>
      </c>
      <c r="C5" s="57" t="s">
        <v>2205</v>
      </c>
      <c r="D5" s="56" t="s">
        <v>34</v>
      </c>
      <c r="E5" s="56" t="s">
        <v>2202</v>
      </c>
      <c r="F5" s="56" t="s">
        <v>1771</v>
      </c>
      <c r="G5" s="56" t="s">
        <v>45</v>
      </c>
      <c r="H5" s="56">
        <v>0</v>
      </c>
      <c r="I5" s="56"/>
      <c r="J5" s="56">
        <v>0</v>
      </c>
      <c r="K5" s="56" t="s">
        <v>159</v>
      </c>
      <c r="L5" s="56"/>
      <c r="M5" s="56">
        <v>1</v>
      </c>
      <c r="N5" s="56">
        <v>-1</v>
      </c>
      <c r="O5" s="56">
        <v>-1</v>
      </c>
      <c r="P5" s="56" t="s">
        <v>1242</v>
      </c>
      <c r="Q5" s="68">
        <f>IF(E5="OnGainRelic", 0, IF(OR(P5="Quest", P5="Monster", P5="Event", D5="Basic", D5="Upgrade"), -1, MIN(IFERROR(VLOOKUP(D5, Relic_Price_Config!$A$5:$E$9, 4, FALSE), 350), MAX(IFERROR(VLOOKUP(D5, Relic_Price_Config!$A$5:$E$9, 3, FALSE), 210), ROUND((IFERROR(VLOOKUP(F5, Relic_Price_Config!$G$5:$N$100, 4, FALSE), 280) + N(H5) * IFERROR(VLOOKUP(F5, Relic_Price_Config!$G$5:$N$100, 5, FALSE), 10) + ABS(N(M5)) * IFERROR(VLOOKUP(F5, Relic_Price_Config!$G$5:$N$100, 6, FALSE), 15) + IF(N(N5)&gt;1, (N(N5)-1)*10, 0)) * IFERROR(VLOOKUP(D5, Relic_Price_Config!$A$5:$E$9, 2, FALSE), 1), 0)))))</f>
        <v>305</v>
      </c>
      <c r="R5" s="68">
        <f t="shared" si="0"/>
        <v>215</v>
      </c>
      <c r="S5" s="68">
        <f t="shared" si="1"/>
        <v>395</v>
      </c>
      <c r="T5" s="68">
        <f>IF(E5="OnGainRelic", 0, MIN(IFERROR(VLOOKUP(D5, Relic_Price_Config!$A$5:$E$9, 4, FALSE), 350), MAX(IFERROR(VLOOKUP(D5, Relic_Price_Config!$A$5:$E$9, 3, FALSE), 210), ROUND((IFERROR(VLOOKUP(F5, Relic_Price_Config!$G$5:$N$100, 4, FALSE), 280) + N(H5) * IFERROR(VLOOKUP(F5, Relic_Price_Config!$G$5:$N$100, 5, FALSE), 10) + ABS(N(M5)) * IFERROR(VLOOKUP(F5, Relic_Price_Config!$G$5:$N$100, 6, FALSE), 15) + IF(N(N5)&gt;1, (N(N5)-1)*10, 0)) * IFERROR(VLOOKUP(D5, Relic_Price_Config!$A$5:$E$9, 2, FALSE), 1), 0))))</f>
        <v>305</v>
      </c>
      <c r="U5" s="56" t="str">
        <f>IF(E5="OnGainRelic", "획득 시 즉발 (0원)", IFERROR(VLOOKUP(F5, Relic_Price_Config!$G$5:$N$100, 2, FALSE), "기타 효과"))</f>
        <v>방어 증가 [아군 방어 상승]</v>
      </c>
    </row>
    <row r="6" spans="1:21" ht="41.4" customHeight="1">
      <c r="A6" s="56" t="s">
        <v>2206</v>
      </c>
      <c r="B6" s="57" t="s">
        <v>2207</v>
      </c>
      <c r="C6" s="57" t="s">
        <v>2208</v>
      </c>
      <c r="D6" s="56" t="s">
        <v>34</v>
      </c>
      <c r="E6" s="56" t="s">
        <v>2202</v>
      </c>
      <c r="F6" s="56" t="s">
        <v>146</v>
      </c>
      <c r="G6" s="56" t="s">
        <v>45</v>
      </c>
      <c r="H6" s="56">
        <v>1</v>
      </c>
      <c r="I6" s="56"/>
      <c r="J6" s="56">
        <v>0</v>
      </c>
      <c r="K6" s="56"/>
      <c r="L6" s="56"/>
      <c r="M6" s="56">
        <v>0</v>
      </c>
      <c r="N6" s="56">
        <v>0</v>
      </c>
      <c r="O6" s="56">
        <v>-1</v>
      </c>
      <c r="P6" s="56" t="s">
        <v>1242</v>
      </c>
      <c r="Q6" s="68">
        <f>IF(E6="OnGainRelic", 0, IF(OR(P6="Quest", P6="Monster", P6="Event", D6="Basic", D6="Upgrade"), -1, MIN(IFERROR(VLOOKUP(D6, Relic_Price_Config!$A$5:$E$9, 4, FALSE), 350), MAX(IFERROR(VLOOKUP(D6, Relic_Price_Config!$A$5:$E$9, 3, FALSE), 210), ROUND((IFERROR(VLOOKUP(F6, Relic_Price_Config!$G$5:$N$100, 4, FALSE), 280) + N(H6) * IFERROR(VLOOKUP(F6, Relic_Price_Config!$G$5:$N$100, 5, FALSE), 10) + ABS(N(M6)) * IFERROR(VLOOKUP(F6, Relic_Price_Config!$G$5:$N$100, 6, FALSE), 15) + IF(N(N6)&gt;1, (N(N6)-1)*10, 0)) * IFERROR(VLOOKUP(D6, Relic_Price_Config!$A$5:$E$9, 2, FALSE), 1), 0)))))</f>
        <v>330</v>
      </c>
      <c r="R6" s="68">
        <f t="shared" si="0"/>
        <v>230</v>
      </c>
      <c r="S6" s="68">
        <f t="shared" si="1"/>
        <v>430</v>
      </c>
      <c r="T6" s="68">
        <f>IF(E6="OnGainRelic", 0, MIN(IFERROR(VLOOKUP(D6, Relic_Price_Config!$A$5:$E$9, 4, FALSE), 350), MAX(IFERROR(VLOOKUP(D6, Relic_Price_Config!$A$5:$E$9, 3, FALSE), 210), ROUND((IFERROR(VLOOKUP(F6, Relic_Price_Config!$G$5:$N$100, 4, FALSE), 280) + N(H6) * IFERROR(VLOOKUP(F6, Relic_Price_Config!$G$5:$N$100, 5, FALSE), 10) + ABS(N(M6)) * IFERROR(VLOOKUP(F6, Relic_Price_Config!$G$5:$N$100, 6, FALSE), 15) + IF(N(N6)&gt;1, (N(N6)-1)*10, 0)) * IFERROR(VLOOKUP(D6, Relic_Price_Config!$A$5:$E$9, 2, FALSE), 1), 0))))</f>
        <v>330</v>
      </c>
      <c r="U6" s="56" t="str">
        <f>IF(E6="OnGainRelic", "획득 시 즉발 (0원)", IFERROR(VLOOKUP(F6, Relic_Price_Config!$G$5:$N$100, 2, FALSE), "기타 효과"))</f>
        <v>에너지 관련 (행동력 추가)</v>
      </c>
    </row>
    <row r="7" spans="1:21" ht="41.4" customHeight="1">
      <c r="A7" s="56" t="s">
        <v>2209</v>
      </c>
      <c r="B7" s="57" t="s">
        <v>2210</v>
      </c>
      <c r="C7" s="57" t="s">
        <v>2211</v>
      </c>
      <c r="D7" s="56" t="s">
        <v>34</v>
      </c>
      <c r="E7" s="56" t="s">
        <v>2212</v>
      </c>
      <c r="F7" s="56" t="s">
        <v>44</v>
      </c>
      <c r="G7" s="56" t="s">
        <v>45</v>
      </c>
      <c r="H7" s="56">
        <v>2</v>
      </c>
      <c r="I7" s="56"/>
      <c r="J7" s="56">
        <v>0</v>
      </c>
      <c r="K7" s="56"/>
      <c r="L7" s="56"/>
      <c r="M7" s="56">
        <v>0</v>
      </c>
      <c r="N7" s="56">
        <v>0</v>
      </c>
      <c r="O7" s="56">
        <v>-1</v>
      </c>
      <c r="P7" s="56" t="s">
        <v>1242</v>
      </c>
      <c r="Q7" s="68">
        <f>IF(E7="OnGainRelic", 0, IF(OR(P7="Quest", P7="Monster", P7="Event", D7="Basic", D7="Upgrade"), -1, MIN(IFERROR(VLOOKUP(D7, Relic_Price_Config!$A$5:$E$9, 4, FALSE), 350), MAX(IFERROR(VLOOKUP(D7, Relic_Price_Config!$A$5:$E$9, 3, FALSE), 210), ROUND((IFERROR(VLOOKUP(F7, Relic_Price_Config!$G$5:$N$100, 4, FALSE), 280) + N(H7) * IFERROR(VLOOKUP(F7, Relic_Price_Config!$G$5:$N$100, 5, FALSE), 10) + ABS(N(M7)) * IFERROR(VLOOKUP(F7, Relic_Price_Config!$G$5:$N$100, 6, FALSE), 15) + IF(N(N7)&gt;1, (N(N7)-1)*10, 0)) * IFERROR(VLOOKUP(D7, Relic_Price_Config!$A$5:$E$9, 2, FALSE), 1), 0)))))</f>
        <v>300</v>
      </c>
      <c r="R7" s="68">
        <f t="shared" si="0"/>
        <v>210</v>
      </c>
      <c r="S7" s="68">
        <f t="shared" si="1"/>
        <v>390</v>
      </c>
      <c r="T7" s="68">
        <f>IF(E7="OnGainRelic", 0, MIN(IFERROR(VLOOKUP(D7, Relic_Price_Config!$A$5:$E$9, 4, FALSE), 350), MAX(IFERROR(VLOOKUP(D7, Relic_Price_Config!$A$5:$E$9, 3, FALSE), 210), ROUND((IFERROR(VLOOKUP(F7, Relic_Price_Config!$G$5:$N$100, 4, FALSE), 280) + N(H7) * IFERROR(VLOOKUP(F7, Relic_Price_Config!$G$5:$N$100, 5, FALSE), 10) + ABS(N(M7)) * IFERROR(VLOOKUP(F7, Relic_Price_Config!$G$5:$N$100, 6, FALSE), 15) + IF(N(N7)&gt;1, (N(N7)-1)*10, 0)) * IFERROR(VLOOKUP(D7, Relic_Price_Config!$A$5:$E$9, 2, FALSE), 1), 0))))</f>
        <v>300</v>
      </c>
      <c r="U7" s="56" t="str">
        <f>IF(E7="OnGainRelic", "획득 시 즉발 (0원)", IFERROR(VLOOKUP(F7, Relic_Price_Config!$G$5:$N$100, 2, FALSE), "기타 효과"))</f>
        <v>방어 관련 [보호막 획득]</v>
      </c>
    </row>
    <row r="8" spans="1:21" ht="17.25" customHeight="1">
      <c r="A8" s="56" t="s">
        <v>2213</v>
      </c>
      <c r="B8" s="57" t="s">
        <v>2214</v>
      </c>
      <c r="C8" s="57" t="s">
        <v>2215</v>
      </c>
      <c r="D8" s="56" t="s">
        <v>34</v>
      </c>
      <c r="E8" s="56" t="s">
        <v>2202</v>
      </c>
      <c r="F8" s="56" t="s">
        <v>652</v>
      </c>
      <c r="G8" s="56" t="s">
        <v>108</v>
      </c>
      <c r="H8" s="56">
        <v>5</v>
      </c>
      <c r="I8" s="56"/>
      <c r="J8" s="56">
        <v>0</v>
      </c>
      <c r="K8" s="56"/>
      <c r="L8" s="56"/>
      <c r="M8" s="56">
        <v>0</v>
      </c>
      <c r="N8" s="56">
        <v>0</v>
      </c>
      <c r="O8" s="56">
        <v>-1</v>
      </c>
      <c r="P8" s="56" t="s">
        <v>1242</v>
      </c>
      <c r="Q8" s="68">
        <f>IF(E8="OnGainRelic", 0, IF(OR(P8="Quest", P8="Monster", P8="Event", D8="Basic", D8="Upgrade"), -1, MIN(IFERROR(VLOOKUP(D8, Relic_Price_Config!$A$5:$E$9, 4, FALSE), 350), MAX(IFERROR(VLOOKUP(D8, Relic_Price_Config!$A$5:$E$9, 3, FALSE), 210), ROUND((IFERROR(VLOOKUP(F8, Relic_Price_Config!$G$5:$N$100, 4, FALSE), 280) + N(H8) * IFERROR(VLOOKUP(F8, Relic_Price_Config!$G$5:$N$100, 5, FALSE), 10) + ABS(N(M8)) * IFERROR(VLOOKUP(F8, Relic_Price_Config!$G$5:$N$100, 6, FALSE), 15) + IF(N(N8)&gt;1, (N(N8)-1)*10, 0)) * IFERROR(VLOOKUP(D8, Relic_Price_Config!$A$5:$E$9, 2, FALSE), 1), 0)))))</f>
        <v>310</v>
      </c>
      <c r="R8" s="68">
        <f t="shared" si="0"/>
        <v>215</v>
      </c>
      <c r="S8" s="68">
        <f t="shared" si="1"/>
        <v>405</v>
      </c>
      <c r="T8" s="68">
        <f>IF(E8="OnGainRelic", 0, MIN(IFERROR(VLOOKUP(D8, Relic_Price_Config!$A$5:$E$9, 4, FALSE), 350), MAX(IFERROR(VLOOKUP(D8, Relic_Price_Config!$A$5:$E$9, 3, FALSE), 210), ROUND((IFERROR(VLOOKUP(F8, Relic_Price_Config!$G$5:$N$100, 4, FALSE), 280) + N(H8) * IFERROR(VLOOKUP(F8, Relic_Price_Config!$G$5:$N$100, 5, FALSE), 10) + ABS(N(M8)) * IFERROR(VLOOKUP(F8, Relic_Price_Config!$G$5:$N$100, 6, FALSE), 15) + IF(N(N8)&gt;1, (N(N8)-1)*10, 0)) * IFERROR(VLOOKUP(D8, Relic_Price_Config!$A$5:$E$9, 2, FALSE), 1), 0))))</f>
        <v>310</v>
      </c>
      <c r="U8" s="56" t="str">
        <f>IF(E8="OnGainRelic", "획득 시 즉발 (0원)", IFERROR(VLOOKUP(F8, Relic_Price_Config!$G$5:$N$100, 2, FALSE), "기타 효과"))</f>
        <v>광역 피해 [전체 데미지]</v>
      </c>
    </row>
    <row r="9" spans="1:21" ht="17.25" customHeight="1">
      <c r="A9" s="56" t="s">
        <v>2216</v>
      </c>
      <c r="B9" s="57" t="s">
        <v>2217</v>
      </c>
      <c r="C9" s="57" t="s">
        <v>2218</v>
      </c>
      <c r="D9" s="56" t="s">
        <v>34</v>
      </c>
      <c r="E9" s="56" t="s">
        <v>2202</v>
      </c>
      <c r="F9" s="56" t="s">
        <v>1579</v>
      </c>
      <c r="G9" s="56" t="s">
        <v>45</v>
      </c>
      <c r="H9" s="56">
        <v>3</v>
      </c>
      <c r="I9" s="56"/>
      <c r="J9" s="56">
        <v>0</v>
      </c>
      <c r="K9" s="56"/>
      <c r="L9" s="56"/>
      <c r="M9" s="56">
        <v>0</v>
      </c>
      <c r="N9" s="56">
        <v>0</v>
      </c>
      <c r="O9" s="56">
        <v>-1</v>
      </c>
      <c r="P9" s="56" t="s">
        <v>1242</v>
      </c>
      <c r="Q9" s="68">
        <f>IF(E9="OnGainRelic", 0, IF(OR(P9="Quest", P9="Monster", P9="Event", D9="Basic", D9="Upgrade"), -1, MIN(IFERROR(VLOOKUP(D9, Relic_Price_Config!$A$5:$E$9, 4, FALSE), 350), MAX(IFERROR(VLOOKUP(D9, Relic_Price_Config!$A$5:$E$9, 3, FALSE), 210), ROUND((IFERROR(VLOOKUP(F9, Relic_Price_Config!$G$5:$N$100, 4, FALSE), 280) + N(H9) * IFERROR(VLOOKUP(F9, Relic_Price_Config!$G$5:$N$100, 5, FALSE), 10) + ABS(N(M9)) * IFERROR(VLOOKUP(F9, Relic_Price_Config!$G$5:$N$100, 6, FALSE), 15) + IF(N(N9)&gt;1, (N(N9)-1)*10, 0)) * IFERROR(VLOOKUP(D9, Relic_Price_Config!$A$5:$E$9, 2, FALSE), 1), 0)))))</f>
        <v>315</v>
      </c>
      <c r="R9" s="68">
        <f t="shared" si="0"/>
        <v>220</v>
      </c>
      <c r="S9" s="68">
        <f t="shared" si="1"/>
        <v>410</v>
      </c>
      <c r="T9" s="68">
        <f>IF(E9="OnGainRelic", 0, MIN(IFERROR(VLOOKUP(D9, Relic_Price_Config!$A$5:$E$9, 4, FALSE), 350), MAX(IFERROR(VLOOKUP(D9, Relic_Price_Config!$A$5:$E$9, 3, FALSE), 210), ROUND((IFERROR(VLOOKUP(F9, Relic_Price_Config!$G$5:$N$100, 4, FALSE), 280) + N(H9) * IFERROR(VLOOKUP(F9, Relic_Price_Config!$G$5:$N$100, 5, FALSE), 10) + ABS(N(M9)) * IFERROR(VLOOKUP(F9, Relic_Price_Config!$G$5:$N$100, 6, FALSE), 15) + IF(N(N9)&gt;1, (N(N9)-1)*10, 0)) * IFERROR(VLOOKUP(D9, Relic_Price_Config!$A$5:$E$9, 2, FALSE), 1), 0))))</f>
        <v>315</v>
      </c>
      <c r="U9" s="56" t="str">
        <f>IF(E9="OnGainRelic", "획득 시 즉발 (0원)", IFERROR(VLOOKUP(F9, Relic_Price_Config!$G$5:$N$100, 2, FALSE), "기타 효과"))</f>
        <v>방어 관련 [체력 회복]</v>
      </c>
    </row>
    <row r="10" spans="1:21" ht="17.25" customHeight="1">
      <c r="A10" s="56" t="s">
        <v>2219</v>
      </c>
      <c r="B10" s="57" t="s">
        <v>2220</v>
      </c>
      <c r="C10" s="57" t="s">
        <v>2221</v>
      </c>
      <c r="D10" s="56" t="s">
        <v>34</v>
      </c>
      <c r="E10" s="56" t="s">
        <v>2202</v>
      </c>
      <c r="F10" s="56" t="s">
        <v>100</v>
      </c>
      <c r="G10" s="56" t="s">
        <v>45</v>
      </c>
      <c r="H10" s="56">
        <v>0</v>
      </c>
      <c r="I10" s="56"/>
      <c r="J10" s="56">
        <v>0</v>
      </c>
      <c r="K10" s="56" t="s">
        <v>101</v>
      </c>
      <c r="L10" s="56"/>
      <c r="M10" s="56">
        <v>1</v>
      </c>
      <c r="N10" s="56">
        <v>-1</v>
      </c>
      <c r="O10" s="56">
        <v>-1</v>
      </c>
      <c r="P10" s="56" t="s">
        <v>1242</v>
      </c>
      <c r="Q10" s="68">
        <f>IF(E10="OnGainRelic", 0, IF(OR(P10="Quest", P10="Monster", P10="Event", D10="Basic", D10="Upgrade"), -1, MIN(IFERROR(VLOOKUP(D10, Relic_Price_Config!$A$5:$E$9, 4, FALSE), 350), MAX(IFERROR(VLOOKUP(D10, Relic_Price_Config!$A$5:$E$9, 3, FALSE), 210), ROUND((IFERROR(VLOOKUP(F10, Relic_Price_Config!$G$5:$N$100, 4, FALSE), 280) + N(H10) * IFERROR(VLOOKUP(F10, Relic_Price_Config!$G$5:$N$100, 5, FALSE), 10) + ABS(N(M10)) * IFERROR(VLOOKUP(F10, Relic_Price_Config!$G$5:$N$100, 6, FALSE), 15) + IF(N(N10)&gt;1, (N(N10)-1)*10, 0)) * IFERROR(VLOOKUP(D10, Relic_Price_Config!$A$5:$E$9, 2, FALSE), 1), 0)))))</f>
        <v>310</v>
      </c>
      <c r="R10" s="68">
        <f t="shared" si="0"/>
        <v>215</v>
      </c>
      <c r="S10" s="68">
        <f t="shared" si="1"/>
        <v>405</v>
      </c>
      <c r="T10" s="68">
        <f>IF(E10="OnGainRelic", 0, MIN(IFERROR(VLOOKUP(D10, Relic_Price_Config!$A$5:$E$9, 4, FALSE), 350), MAX(IFERROR(VLOOKUP(D10, Relic_Price_Config!$A$5:$E$9, 3, FALSE), 210), ROUND((IFERROR(VLOOKUP(F10, Relic_Price_Config!$G$5:$N$100, 4, FALSE), 280) + N(H10) * IFERROR(VLOOKUP(F10, Relic_Price_Config!$G$5:$N$100, 5, FALSE), 10) + ABS(N(M10)) * IFERROR(VLOOKUP(F10, Relic_Price_Config!$G$5:$N$100, 6, FALSE), 15) + IF(N(N10)&gt;1, (N(N10)-1)*10, 0)) * IFERROR(VLOOKUP(D10, Relic_Price_Config!$A$5:$E$9, 2, FALSE), 1), 0))))</f>
        <v>310</v>
      </c>
      <c r="U10" s="56" t="str">
        <f>IF(E10="OnGainRelic", "획득 시 즉발 (0원)", IFERROR(VLOOKUP(F10, Relic_Price_Config!$G$5:$N$100, 2, FALSE), "기타 효과"))</f>
        <v>방어 관련 [회피율 증가]</v>
      </c>
    </row>
    <row r="11" spans="1:21" ht="17.25" customHeight="1">
      <c r="A11" s="56" t="s">
        <v>2222</v>
      </c>
      <c r="B11" s="57" t="s">
        <v>2223</v>
      </c>
      <c r="C11" s="57" t="s">
        <v>2224</v>
      </c>
      <c r="D11" s="56" t="s">
        <v>34</v>
      </c>
      <c r="E11" s="56" t="s">
        <v>2225</v>
      </c>
      <c r="F11" s="56" t="s">
        <v>1851</v>
      </c>
      <c r="G11" s="56" t="s">
        <v>45</v>
      </c>
      <c r="H11" s="56">
        <v>10</v>
      </c>
      <c r="I11" s="56"/>
      <c r="J11" s="56">
        <v>0</v>
      </c>
      <c r="K11" s="56"/>
      <c r="L11" s="56"/>
      <c r="M11" s="56">
        <v>0</v>
      </c>
      <c r="N11" s="56">
        <v>0</v>
      </c>
      <c r="O11" s="56">
        <v>-1</v>
      </c>
      <c r="P11" s="56" t="s">
        <v>1242</v>
      </c>
      <c r="Q11" s="68">
        <f>IF(E11="OnGainRelic", 0, IF(OR(P11="Quest", P11="Monster", P11="Event", D11="Basic", D11="Upgrade"), -1, MIN(IFERROR(VLOOKUP(D11, Relic_Price_Config!$A$5:$E$9, 4, FALSE), 350), MAX(IFERROR(VLOOKUP(D11, Relic_Price_Config!$A$5:$E$9, 3, FALSE), 210), ROUND((IFERROR(VLOOKUP(F11, Relic_Price_Config!$G$5:$N$100, 4, FALSE), 280) + N(H11) * IFERROR(VLOOKUP(F11, Relic_Price_Config!$G$5:$N$100, 5, FALSE), 10) + ABS(N(M11)) * IFERROR(VLOOKUP(F11, Relic_Price_Config!$G$5:$N$100, 6, FALSE), 15) + IF(N(N11)&gt;1, (N(N11)-1)*10, 0)) * IFERROR(VLOOKUP(D11, Relic_Price_Config!$A$5:$E$9, 2, FALSE), 1), 0)))))</f>
        <v>215</v>
      </c>
      <c r="R11" s="68">
        <f t="shared" si="0"/>
        <v>150</v>
      </c>
      <c r="S11" s="68">
        <f t="shared" si="1"/>
        <v>280</v>
      </c>
      <c r="T11" s="68">
        <f>IF(E11="OnGainRelic", 0, MIN(IFERROR(VLOOKUP(D11, Relic_Price_Config!$A$5:$E$9, 4, FALSE), 350), MAX(IFERROR(VLOOKUP(D11, Relic_Price_Config!$A$5:$E$9, 3, FALSE), 210), ROUND((IFERROR(VLOOKUP(F11, Relic_Price_Config!$G$5:$N$100, 4, FALSE), 280) + N(H11) * IFERROR(VLOOKUP(F11, Relic_Price_Config!$G$5:$N$100, 5, FALSE), 10) + ABS(N(M11)) * IFERROR(VLOOKUP(F11, Relic_Price_Config!$G$5:$N$100, 6, FALSE), 15) + IF(N(N11)&gt;1, (N(N11)-1)*10, 0)) * IFERROR(VLOOKUP(D11, Relic_Price_Config!$A$5:$E$9, 2, FALSE), 1), 0))))</f>
        <v>215</v>
      </c>
      <c r="U11" s="56" t="str">
        <f>IF(E11="OnGainRelic", "획득 시 즉발 (0원)", IFERROR(VLOOKUP(F11, Relic_Price_Config!$G$5:$N$100, 2, FALSE), "기타 효과"))</f>
        <v>경제 관련 (재화 획득)</v>
      </c>
    </row>
    <row r="12" spans="1:21" ht="17.25" customHeight="1">
      <c r="A12" s="56" t="s">
        <v>2226</v>
      </c>
      <c r="B12" s="57" t="s">
        <v>2227</v>
      </c>
      <c r="C12" s="57" t="s">
        <v>2228</v>
      </c>
      <c r="D12" s="56" t="s">
        <v>34</v>
      </c>
      <c r="E12" s="56" t="s">
        <v>2229</v>
      </c>
      <c r="F12" s="56" t="s">
        <v>44</v>
      </c>
      <c r="G12" s="56" t="s">
        <v>45</v>
      </c>
      <c r="H12" s="56">
        <v>1</v>
      </c>
      <c r="I12" s="56"/>
      <c r="J12" s="56">
        <v>0</v>
      </c>
      <c r="K12" s="56"/>
      <c r="L12" s="56"/>
      <c r="M12" s="56">
        <v>0</v>
      </c>
      <c r="N12" s="56">
        <v>0</v>
      </c>
      <c r="O12" s="56">
        <v>-1</v>
      </c>
      <c r="P12" s="56" t="s">
        <v>1242</v>
      </c>
      <c r="Q12" s="68">
        <f>IF(E12="OnGainRelic", 0, IF(OR(P12="Quest", P12="Monster", P12="Event", D12="Basic", D12="Upgrade"), -1, MIN(IFERROR(VLOOKUP(D12, Relic_Price_Config!$A$5:$E$9, 4, FALSE), 350), MAX(IFERROR(VLOOKUP(D12, Relic_Price_Config!$A$5:$E$9, 3, FALSE), 210), ROUND((IFERROR(VLOOKUP(F12, Relic_Price_Config!$G$5:$N$100, 4, FALSE), 280) + N(H12) * IFERROR(VLOOKUP(F12, Relic_Price_Config!$G$5:$N$100, 5, FALSE), 10) + ABS(N(M12)) * IFERROR(VLOOKUP(F12, Relic_Price_Config!$G$5:$N$100, 6, FALSE), 15) + IF(N(N12)&gt;1, (N(N12)-1)*10, 0)) * IFERROR(VLOOKUP(D12, Relic_Price_Config!$A$5:$E$9, 2, FALSE), 1), 0)))))</f>
        <v>285</v>
      </c>
      <c r="R12" s="68">
        <f t="shared" si="0"/>
        <v>200</v>
      </c>
      <c r="S12" s="68">
        <f t="shared" si="1"/>
        <v>370</v>
      </c>
      <c r="T12" s="68">
        <f>IF(E12="OnGainRelic", 0, MIN(IFERROR(VLOOKUP(D12, Relic_Price_Config!$A$5:$E$9, 4, FALSE), 350), MAX(IFERROR(VLOOKUP(D12, Relic_Price_Config!$A$5:$E$9, 3, FALSE), 210), ROUND((IFERROR(VLOOKUP(F12, Relic_Price_Config!$G$5:$N$100, 4, FALSE), 280) + N(H12) * IFERROR(VLOOKUP(F12, Relic_Price_Config!$G$5:$N$100, 5, FALSE), 10) + ABS(N(M12)) * IFERROR(VLOOKUP(F12, Relic_Price_Config!$G$5:$N$100, 6, FALSE), 15) + IF(N(N12)&gt;1, (N(N12)-1)*10, 0)) * IFERROR(VLOOKUP(D12, Relic_Price_Config!$A$5:$E$9, 2, FALSE), 1), 0))))</f>
        <v>285</v>
      </c>
      <c r="U12" s="56" t="str">
        <f>IF(E12="OnGainRelic", "획득 시 즉발 (0원)", IFERROR(VLOOKUP(F12, Relic_Price_Config!$G$5:$N$100, 2, FALSE), "기타 효과"))</f>
        <v>방어 관련 [보호막 획득]</v>
      </c>
    </row>
    <row r="13" spans="1:21" ht="34.5" customHeight="1">
      <c r="A13" s="56" t="s">
        <v>2230</v>
      </c>
      <c r="B13" s="57" t="s">
        <v>2231</v>
      </c>
      <c r="C13" s="62" t="s">
        <v>2232</v>
      </c>
      <c r="D13" s="56" t="s">
        <v>34</v>
      </c>
      <c r="E13" s="56" t="s">
        <v>2233</v>
      </c>
      <c r="F13" s="56" t="s">
        <v>1854</v>
      </c>
      <c r="G13" s="56" t="s">
        <v>45</v>
      </c>
      <c r="H13" s="56">
        <v>1</v>
      </c>
      <c r="I13" s="56"/>
      <c r="J13" s="56">
        <v>0</v>
      </c>
      <c r="K13" s="56"/>
      <c r="L13" s="56"/>
      <c r="M13" s="56">
        <v>0</v>
      </c>
      <c r="N13" s="56">
        <v>0</v>
      </c>
      <c r="O13" s="56">
        <v>-1</v>
      </c>
      <c r="P13" s="56" t="s">
        <v>1242</v>
      </c>
      <c r="Q13" s="68">
        <f>IF(E13="OnGainRelic", 0, IF(OR(P13="Quest", P13="Monster", P13="Event", D13="Basic", D13="Upgrade"), -1, MIN(IFERROR(VLOOKUP(D13, Relic_Price_Config!$A$5:$E$9, 4, FALSE), 350), MAX(IFERROR(VLOOKUP(D13, Relic_Price_Config!$A$5:$E$9, 3, FALSE), 210), ROUND((IFERROR(VLOOKUP(F13, Relic_Price_Config!$G$5:$N$100, 4, FALSE), 280) + N(H13) * IFERROR(VLOOKUP(F13, Relic_Price_Config!$G$5:$N$100, 5, FALSE), 10) + ABS(N(M13)) * IFERROR(VLOOKUP(F13, Relic_Price_Config!$G$5:$N$100, 6, FALSE), 15) + IF(N(N13)&gt;1, (N(N13)-1)*10, 0)) * IFERROR(VLOOKUP(D13, Relic_Price_Config!$A$5:$E$9, 2, FALSE), 1), 0)))))</f>
        <v>0</v>
      </c>
      <c r="R13" s="68">
        <f t="shared" si="0"/>
        <v>0</v>
      </c>
      <c r="S13" s="68">
        <f t="shared" si="1"/>
        <v>0</v>
      </c>
      <c r="T13" s="68">
        <f>IF(E13="OnGainRelic", 0, MIN(IFERROR(VLOOKUP(D13, Relic_Price_Config!$A$5:$E$9, 4, FALSE), 350), MAX(IFERROR(VLOOKUP(D13, Relic_Price_Config!$A$5:$E$9, 3, FALSE), 210), ROUND((IFERROR(VLOOKUP(F13, Relic_Price_Config!$G$5:$N$100, 4, FALSE), 280) + N(H13) * IFERROR(VLOOKUP(F13, Relic_Price_Config!$G$5:$N$100, 5, FALSE), 10) + ABS(N(M13)) * IFERROR(VLOOKUP(F13, Relic_Price_Config!$G$5:$N$100, 6, FALSE), 15) + IF(N(N13)&gt;1, (N(N13)-1)*10, 0)) * IFERROR(VLOOKUP(D13, Relic_Price_Config!$A$5:$E$9, 2, FALSE), 1), 0))))</f>
        <v>0</v>
      </c>
      <c r="U13" s="56" t="str">
        <f>IF(E13="OnGainRelic", "획득 시 즉발 (0원)", IFERROR(VLOOKUP(F13, Relic_Price_Config!$G$5:$N$100, 2, FALSE), "기타 효과"))</f>
        <v>획득 시 즉발 (0원)</v>
      </c>
    </row>
    <row r="14" spans="1:21" ht="17.25" customHeight="1">
      <c r="A14" s="56" t="s">
        <v>2234</v>
      </c>
      <c r="B14" s="57" t="s">
        <v>2235</v>
      </c>
      <c r="C14" s="57" t="s">
        <v>2236</v>
      </c>
      <c r="D14" s="56" t="s">
        <v>34</v>
      </c>
      <c r="E14" s="56" t="s">
        <v>2233</v>
      </c>
      <c r="F14" s="56" t="s">
        <v>1851</v>
      </c>
      <c r="G14" s="56" t="s">
        <v>45</v>
      </c>
      <c r="H14" s="56">
        <v>333</v>
      </c>
      <c r="I14" s="56"/>
      <c r="J14" s="56">
        <v>0</v>
      </c>
      <c r="K14" s="56"/>
      <c r="L14" s="56"/>
      <c r="M14" s="56">
        <v>0</v>
      </c>
      <c r="N14" s="56">
        <v>0</v>
      </c>
      <c r="O14" s="56">
        <v>-1</v>
      </c>
      <c r="P14" s="56" t="s">
        <v>1242</v>
      </c>
      <c r="Q14" s="68">
        <f>IF(E14="OnGainRelic", 0, IF(OR(P14="Quest", P14="Monster", P14="Event", D14="Basic", D14="Upgrade"), -1, MIN(IFERROR(VLOOKUP(D14, Relic_Price_Config!$A$5:$E$9, 4, FALSE), 350), MAX(IFERROR(VLOOKUP(D14, Relic_Price_Config!$A$5:$E$9, 3, FALSE), 210), ROUND((IFERROR(VLOOKUP(F14, Relic_Price_Config!$G$5:$N$100, 4, FALSE), 280) + N(H14) * IFERROR(VLOOKUP(F14, Relic_Price_Config!$G$5:$N$100, 5, FALSE), 10) + ABS(N(M14)) * IFERROR(VLOOKUP(F14, Relic_Price_Config!$G$5:$N$100, 6, FALSE), 15) + IF(N(N14)&gt;1, (N(N14)-1)*10, 0)) * IFERROR(VLOOKUP(D14, Relic_Price_Config!$A$5:$E$9, 2, FALSE), 1), 0)))))</f>
        <v>0</v>
      </c>
      <c r="R14" s="68">
        <f t="shared" si="0"/>
        <v>0</v>
      </c>
      <c r="S14" s="68">
        <f t="shared" si="1"/>
        <v>0</v>
      </c>
      <c r="T14" s="68">
        <f>IF(E14="OnGainRelic", 0, MIN(IFERROR(VLOOKUP(D14, Relic_Price_Config!$A$5:$E$9, 4, FALSE), 350), MAX(IFERROR(VLOOKUP(D14, Relic_Price_Config!$A$5:$E$9, 3, FALSE), 210), ROUND((IFERROR(VLOOKUP(F14, Relic_Price_Config!$G$5:$N$100, 4, FALSE), 280) + N(H14) * IFERROR(VLOOKUP(F14, Relic_Price_Config!$G$5:$N$100, 5, FALSE), 10) + ABS(N(M14)) * IFERROR(VLOOKUP(F14, Relic_Price_Config!$G$5:$N$100, 6, FALSE), 15) + IF(N(N14)&gt;1, (N(N14)-1)*10, 0)) * IFERROR(VLOOKUP(D14, Relic_Price_Config!$A$5:$E$9, 2, FALSE), 1), 0))))</f>
        <v>0</v>
      </c>
      <c r="U14" s="56" t="str">
        <f>IF(E14="OnGainRelic", "획득 시 즉발 (0원)", IFERROR(VLOOKUP(F14, Relic_Price_Config!$G$5:$N$100, 2, FALSE), "기타 효과"))</f>
        <v>획득 시 즉발 (0원)</v>
      </c>
    </row>
    <row r="15" spans="1:21" ht="17.25" customHeight="1">
      <c r="A15" s="56" t="s">
        <v>2237</v>
      </c>
      <c r="B15" s="57" t="s">
        <v>2238</v>
      </c>
      <c r="C15" s="57" t="s">
        <v>2239</v>
      </c>
      <c r="D15" s="56" t="s">
        <v>34</v>
      </c>
      <c r="E15" s="56" t="s">
        <v>2240</v>
      </c>
      <c r="F15" s="56" t="s">
        <v>1579</v>
      </c>
      <c r="G15" s="56" t="s">
        <v>45</v>
      </c>
      <c r="H15" s="56">
        <v>10</v>
      </c>
      <c r="I15" s="56"/>
      <c r="J15" s="56">
        <v>0</v>
      </c>
      <c r="K15" s="56"/>
      <c r="L15" s="56"/>
      <c r="M15" s="56">
        <v>0</v>
      </c>
      <c r="N15" s="56">
        <v>0</v>
      </c>
      <c r="O15" s="56">
        <v>-1</v>
      </c>
      <c r="P15" s="56" t="s">
        <v>1242</v>
      </c>
      <c r="Q15" s="68">
        <f>IF(E15="OnGainRelic", 0, IF(OR(P15="Quest", P15="Monster", P15="Event", D15="Basic", D15="Upgrade"), -1, MIN(IFERROR(VLOOKUP(D15, Relic_Price_Config!$A$5:$E$9, 4, FALSE), 350), MAX(IFERROR(VLOOKUP(D15, Relic_Price_Config!$A$5:$E$9, 3, FALSE), 210), ROUND((IFERROR(VLOOKUP(F15, Relic_Price_Config!$G$5:$N$100, 4, FALSE), 280) + N(H15) * IFERROR(VLOOKUP(F15, Relic_Price_Config!$G$5:$N$100, 5, FALSE), 10) + ABS(N(M15)) * IFERROR(VLOOKUP(F15, Relic_Price_Config!$G$5:$N$100, 6, FALSE), 15) + IF(N(N15)&gt;1, (N(N15)-1)*10, 0)) * IFERROR(VLOOKUP(D15, Relic_Price_Config!$A$5:$E$9, 2, FALSE), 1), 0)))))</f>
        <v>350</v>
      </c>
      <c r="R15" s="68">
        <f t="shared" si="0"/>
        <v>245</v>
      </c>
      <c r="S15" s="68">
        <f t="shared" si="1"/>
        <v>455</v>
      </c>
      <c r="T15" s="68">
        <f>IF(E15="OnGainRelic", 0, MIN(IFERROR(VLOOKUP(D15, Relic_Price_Config!$A$5:$E$9, 4, FALSE), 350), MAX(IFERROR(VLOOKUP(D15, Relic_Price_Config!$A$5:$E$9, 3, FALSE), 210), ROUND((IFERROR(VLOOKUP(F15, Relic_Price_Config!$G$5:$N$100, 4, FALSE), 280) + N(H15) * IFERROR(VLOOKUP(F15, Relic_Price_Config!$G$5:$N$100, 5, FALSE), 10) + ABS(N(M15)) * IFERROR(VLOOKUP(F15, Relic_Price_Config!$G$5:$N$100, 6, FALSE), 15) + IF(N(N15)&gt;1, (N(N15)-1)*10, 0)) * IFERROR(VLOOKUP(D15, Relic_Price_Config!$A$5:$E$9, 2, FALSE), 1), 0))))</f>
        <v>350</v>
      </c>
      <c r="U15" s="56" t="str">
        <f>IF(E15="OnGainRelic", "획득 시 즉발 (0원)", IFERROR(VLOOKUP(F15, Relic_Price_Config!$G$5:$N$100, 2, FALSE), "기타 효과"))</f>
        <v>방어 관련 [체력 회복]</v>
      </c>
    </row>
    <row r="16" spans="1:21" ht="34.5" customHeight="1">
      <c r="A16" s="56" t="s">
        <v>2241</v>
      </c>
      <c r="B16" s="57" t="s">
        <v>2242</v>
      </c>
      <c r="C16" s="57" t="s">
        <v>2243</v>
      </c>
      <c r="D16" s="56" t="s">
        <v>34</v>
      </c>
      <c r="E16" s="56" t="s">
        <v>2202</v>
      </c>
      <c r="F16" s="56" t="s">
        <v>418</v>
      </c>
      <c r="G16" s="56" t="s">
        <v>108</v>
      </c>
      <c r="H16" s="56">
        <v>0</v>
      </c>
      <c r="I16" s="56"/>
      <c r="J16" s="56">
        <v>0</v>
      </c>
      <c r="K16" s="56" t="s">
        <v>94</v>
      </c>
      <c r="L16" s="56"/>
      <c r="M16" s="56">
        <v>1</v>
      </c>
      <c r="N16" s="56">
        <v>1</v>
      </c>
      <c r="O16" s="56">
        <v>-1</v>
      </c>
      <c r="P16" s="56" t="s">
        <v>1242</v>
      </c>
      <c r="Q16" s="68">
        <f>IF(E16="OnGainRelic", 0, IF(OR(P16="Quest", P16="Monster", P16="Event", D16="Basic", D16="Upgrade"), -1, MIN(IFERROR(VLOOKUP(D16, Relic_Price_Config!$A$5:$E$9, 4, FALSE), 350), MAX(IFERROR(VLOOKUP(D16, Relic_Price_Config!$A$5:$E$9, 3, FALSE), 210), ROUND((IFERROR(VLOOKUP(F16, Relic_Price_Config!$G$5:$N$100, 4, FALSE), 280) + N(H16) * IFERROR(VLOOKUP(F16, Relic_Price_Config!$G$5:$N$100, 5, FALSE), 10) + ABS(N(M16)) * IFERROR(VLOOKUP(F16, Relic_Price_Config!$G$5:$N$100, 6, FALSE), 15) + IF(N(N16)&gt;1, (N(N16)-1)*10, 0)) * IFERROR(VLOOKUP(D16, Relic_Price_Config!$A$5:$E$9, 2, FALSE), 1), 0)))))</f>
        <v>310</v>
      </c>
      <c r="R16" s="68">
        <f t="shared" si="0"/>
        <v>215</v>
      </c>
      <c r="S16" s="68">
        <f t="shared" si="1"/>
        <v>405</v>
      </c>
      <c r="T16" s="68">
        <f>IF(E16="OnGainRelic", 0, MIN(IFERROR(VLOOKUP(D16, Relic_Price_Config!$A$5:$E$9, 4, FALSE), 350), MAX(IFERROR(VLOOKUP(D16, Relic_Price_Config!$A$5:$E$9, 3, FALSE), 210), ROUND((IFERROR(VLOOKUP(F16, Relic_Price_Config!$G$5:$N$100, 4, FALSE), 280) + N(H16) * IFERROR(VLOOKUP(F16, Relic_Price_Config!$G$5:$N$100, 5, FALSE), 10) + ABS(N(M16)) * IFERROR(VLOOKUP(F16, Relic_Price_Config!$G$5:$N$100, 6, FALSE), 15) + IF(N(N16)&gt;1, (N(N16)-1)*10, 0)) * IFERROR(VLOOKUP(D16, Relic_Price_Config!$A$5:$E$9, 2, FALSE), 1), 0))))</f>
        <v>310</v>
      </c>
      <c r="U16" s="56" t="str">
        <f>IF(E16="OnGainRelic", "획득 시 즉발 (0원)", IFERROR(VLOOKUP(F16, Relic_Price_Config!$G$5:$N$100, 2, FALSE), "기타 효과"))</f>
        <v>공격 증가 [적 받는 피해 증가]</v>
      </c>
    </row>
    <row r="17" spans="1:21" ht="34.5" customHeight="1">
      <c r="A17" s="56" t="s">
        <v>2244</v>
      </c>
      <c r="B17" s="57" t="s">
        <v>2245</v>
      </c>
      <c r="C17" s="57" t="s">
        <v>2246</v>
      </c>
      <c r="D17" s="56" t="s">
        <v>34</v>
      </c>
      <c r="E17" s="56" t="s">
        <v>2202</v>
      </c>
      <c r="F17" s="56" t="s">
        <v>1091</v>
      </c>
      <c r="G17" s="56" t="s">
        <v>108</v>
      </c>
      <c r="H17" s="56">
        <v>0</v>
      </c>
      <c r="I17" s="56"/>
      <c r="J17" s="56">
        <v>0</v>
      </c>
      <c r="K17" s="56" t="s">
        <v>357</v>
      </c>
      <c r="L17" s="56"/>
      <c r="M17" s="56">
        <v>1</v>
      </c>
      <c r="N17" s="56">
        <v>1</v>
      </c>
      <c r="O17" s="56">
        <v>-1</v>
      </c>
      <c r="P17" s="56" t="s">
        <v>1242</v>
      </c>
      <c r="Q17" s="68">
        <f>IF(E17="OnGainRelic", 0, IF(OR(P17="Quest", P17="Monster", P17="Event", D17="Basic", D17="Upgrade"), -1, MIN(IFERROR(VLOOKUP(D17, Relic_Price_Config!$A$5:$E$9, 4, FALSE), 350), MAX(IFERROR(VLOOKUP(D17, Relic_Price_Config!$A$5:$E$9, 3, FALSE), 210), ROUND((IFERROR(VLOOKUP(F17, Relic_Price_Config!$G$5:$N$100, 4, FALSE), 280) + N(H17) * IFERROR(VLOOKUP(F17, Relic_Price_Config!$G$5:$N$100, 5, FALSE), 10) + ABS(N(M17)) * IFERROR(VLOOKUP(F17, Relic_Price_Config!$G$5:$N$100, 6, FALSE), 15) + IF(N(N17)&gt;1, (N(N17)-1)*10, 0)) * IFERROR(VLOOKUP(D17, Relic_Price_Config!$A$5:$E$9, 2, FALSE), 1), 0)))))</f>
        <v>310</v>
      </c>
      <c r="R17" s="68">
        <f t="shared" si="0"/>
        <v>215</v>
      </c>
      <c r="S17" s="68">
        <f t="shared" si="1"/>
        <v>405</v>
      </c>
      <c r="T17" s="68">
        <f>IF(E17="OnGainRelic", 0, MIN(IFERROR(VLOOKUP(D17, Relic_Price_Config!$A$5:$E$9, 4, FALSE), 350), MAX(IFERROR(VLOOKUP(D17, Relic_Price_Config!$A$5:$E$9, 3, FALSE), 210), ROUND((IFERROR(VLOOKUP(F17, Relic_Price_Config!$G$5:$N$100, 4, FALSE), 280) + N(H17) * IFERROR(VLOOKUP(F17, Relic_Price_Config!$G$5:$N$100, 5, FALSE), 10) + ABS(N(M17)) * IFERROR(VLOOKUP(F17, Relic_Price_Config!$G$5:$N$100, 6, FALSE), 15) + IF(N(N17)&gt;1, (N(N17)-1)*10, 0)) * IFERROR(VLOOKUP(D17, Relic_Price_Config!$A$5:$E$9, 2, FALSE), 1), 0))))</f>
        <v>310</v>
      </c>
      <c r="U17" s="56" t="str">
        <f>IF(E17="OnGainRelic", "획득 시 즉발 (0원)", IFERROR(VLOOKUP(F17, Relic_Price_Config!$G$5:$N$100, 2, FALSE), "기타 효과"))</f>
        <v>방어 증가 [적 공격/화력 감소]</v>
      </c>
    </row>
    <row r="18" spans="1:21" ht="17.25" customHeight="1">
      <c r="A18" s="56" t="s">
        <v>2247</v>
      </c>
      <c r="B18" s="57" t="s">
        <v>2248</v>
      </c>
      <c r="C18" s="57" t="s">
        <v>2249</v>
      </c>
      <c r="D18" s="56" t="s">
        <v>34</v>
      </c>
      <c r="E18" s="56" t="s">
        <v>2233</v>
      </c>
      <c r="F18" s="56" t="s">
        <v>1862</v>
      </c>
      <c r="G18" s="56" t="s">
        <v>45</v>
      </c>
      <c r="H18" s="56">
        <v>8</v>
      </c>
      <c r="I18" s="56"/>
      <c r="J18" s="56">
        <v>0</v>
      </c>
      <c r="L18" s="56"/>
      <c r="M18" s="56">
        <v>0</v>
      </c>
      <c r="N18" s="56">
        <v>0</v>
      </c>
      <c r="O18" s="56">
        <v>-1</v>
      </c>
      <c r="P18" s="56" t="s">
        <v>1242</v>
      </c>
      <c r="Q18" s="68">
        <f>IF(E18="OnGainRelic", 0, IF(OR(P18="Quest", P18="Monster", P18="Event", D18="Basic", D18="Upgrade"), -1, MIN(IFERROR(VLOOKUP(D18, Relic_Price_Config!$A$5:$E$9, 4, FALSE), 350), MAX(IFERROR(VLOOKUP(D18, Relic_Price_Config!$A$5:$E$9, 3, FALSE), 210), ROUND((IFERROR(VLOOKUP(F18, Relic_Price_Config!$G$5:$N$100, 4, FALSE), 280) + N(H18) * IFERROR(VLOOKUP(F18, Relic_Price_Config!$G$5:$N$100, 5, FALSE), 10) + ABS(N(M18)) * IFERROR(VLOOKUP(F18, Relic_Price_Config!$G$5:$N$100, 6, FALSE), 15) + IF(N(N18)&gt;1, (N(N18)-1)*10, 0)) * IFERROR(VLOOKUP(D18, Relic_Price_Config!$A$5:$E$9, 2, FALSE), 1), 0)))))</f>
        <v>0</v>
      </c>
      <c r="R18" s="68">
        <f t="shared" si="0"/>
        <v>0</v>
      </c>
      <c r="S18" s="68">
        <f t="shared" si="1"/>
        <v>0</v>
      </c>
      <c r="T18" s="68">
        <f>IF(E18="OnGainRelic", 0, MIN(IFERROR(VLOOKUP(D18, Relic_Price_Config!$A$5:$E$9, 4, FALSE), 350), MAX(IFERROR(VLOOKUP(D18, Relic_Price_Config!$A$5:$E$9, 3, FALSE), 210), ROUND((IFERROR(VLOOKUP(F18, Relic_Price_Config!$G$5:$N$100, 4, FALSE), 280) + N(H18) * IFERROR(VLOOKUP(F18, Relic_Price_Config!$G$5:$N$100, 5, FALSE), 10) + ABS(N(M18)) * IFERROR(VLOOKUP(F18, Relic_Price_Config!$G$5:$N$100, 6, FALSE), 15) + IF(N(N18)&gt;1, (N(N18)-1)*10, 0)) * IFERROR(VLOOKUP(D18, Relic_Price_Config!$A$5:$E$9, 2, FALSE), 1), 0))))</f>
        <v>0</v>
      </c>
      <c r="U18" s="56" t="str">
        <f>IF(E18="OnGainRelic", "획득 시 즉발 (0원)", IFERROR(VLOOKUP(F18, Relic_Price_Config!$G$5:$N$100, 2, FALSE), "기타 효과"))</f>
        <v>획득 시 즉발 (0원)</v>
      </c>
    </row>
    <row r="19" spans="1:21" ht="17.25" customHeight="1">
      <c r="A19" s="56" t="s">
        <v>2250</v>
      </c>
      <c r="B19" s="57" t="s">
        <v>2251</v>
      </c>
      <c r="C19" s="57" t="s">
        <v>2252</v>
      </c>
      <c r="D19" s="56" t="s">
        <v>34</v>
      </c>
      <c r="E19" s="56" t="s">
        <v>2202</v>
      </c>
      <c r="F19" s="56" t="s">
        <v>1327</v>
      </c>
      <c r="G19" s="56" t="s">
        <v>45</v>
      </c>
      <c r="H19" s="56">
        <v>0</v>
      </c>
      <c r="I19" s="56"/>
      <c r="J19" s="56">
        <v>0</v>
      </c>
      <c r="K19" s="56" t="s">
        <v>316</v>
      </c>
      <c r="L19" s="56"/>
      <c r="M19" s="56">
        <v>1</v>
      </c>
      <c r="N19" s="56">
        <v>-1</v>
      </c>
      <c r="O19" s="56">
        <v>-1</v>
      </c>
      <c r="P19" s="56" t="s">
        <v>1242</v>
      </c>
      <c r="Q19" s="68">
        <f>IF(E19="OnGainRelic", 0, IF(OR(P19="Quest", P19="Monster", P19="Event", D19="Basic", D19="Upgrade"), -1, MIN(IFERROR(VLOOKUP(D19, Relic_Price_Config!$A$5:$E$9, 4, FALSE), 350), MAX(IFERROR(VLOOKUP(D19, Relic_Price_Config!$A$5:$E$9, 3, FALSE), 210), ROUND((IFERROR(VLOOKUP(F19, Relic_Price_Config!$G$5:$N$100, 4, FALSE), 280) + N(H19) * IFERROR(VLOOKUP(F19, Relic_Price_Config!$G$5:$N$100, 5, FALSE), 10) + ABS(N(M19)) * IFERROR(VLOOKUP(F19, Relic_Price_Config!$G$5:$N$100, 6, FALSE), 15) + IF(N(N19)&gt;1, (N(N19)-1)*10, 0)) * IFERROR(VLOOKUP(D19, Relic_Price_Config!$A$5:$E$9, 2, FALSE), 1), 0)))))</f>
        <v>305</v>
      </c>
      <c r="R19" s="68">
        <f t="shared" si="0"/>
        <v>215</v>
      </c>
      <c r="S19" s="68">
        <f t="shared" si="1"/>
        <v>395</v>
      </c>
      <c r="T19" s="68">
        <f>IF(E19="OnGainRelic", 0, MIN(IFERROR(VLOOKUP(D19, Relic_Price_Config!$A$5:$E$9, 4, FALSE), 350), MAX(IFERROR(VLOOKUP(D19, Relic_Price_Config!$A$5:$E$9, 3, FALSE), 210), ROUND((IFERROR(VLOOKUP(F19, Relic_Price_Config!$G$5:$N$100, 4, FALSE), 280) + N(H19) * IFERROR(VLOOKUP(F19, Relic_Price_Config!$G$5:$N$100, 5, FALSE), 10) + ABS(N(M19)) * IFERROR(VLOOKUP(F19, Relic_Price_Config!$G$5:$N$100, 6, FALSE), 15) + IF(N(N19)&gt;1, (N(N19)-1)*10, 0)) * IFERROR(VLOOKUP(D19, Relic_Price_Config!$A$5:$E$9, 2, FALSE), 1), 0))))</f>
        <v>305</v>
      </c>
      <c r="U19" s="56" t="str">
        <f>IF(E19="OnGainRelic", "획득 시 즉발 (0원)", IFERROR(VLOOKUP(F19, Relic_Price_Config!$G$5:$N$100, 2, FALSE), "기타 효과"))</f>
        <v>방어 증가 [받는 피해 감소]</v>
      </c>
    </row>
    <row r="20" spans="1:21" ht="17.25" customHeight="1">
      <c r="A20" s="56" t="s">
        <v>2253</v>
      </c>
      <c r="B20" s="57" t="s">
        <v>2254</v>
      </c>
      <c r="C20" s="57" t="s">
        <v>2255</v>
      </c>
      <c r="D20" s="56" t="s">
        <v>34</v>
      </c>
      <c r="E20" s="56" t="s">
        <v>2256</v>
      </c>
      <c r="F20" s="56" t="s">
        <v>70</v>
      </c>
      <c r="G20" s="56" t="s">
        <v>45</v>
      </c>
      <c r="H20" s="56">
        <v>0</v>
      </c>
      <c r="I20" s="56"/>
      <c r="J20" s="56">
        <v>0</v>
      </c>
      <c r="K20" s="56" t="s">
        <v>71</v>
      </c>
      <c r="L20" s="56"/>
      <c r="M20" s="56">
        <v>2</v>
      </c>
      <c r="N20" s="56">
        <v>-1</v>
      </c>
      <c r="O20" s="56">
        <v>-1</v>
      </c>
      <c r="P20" s="56" t="s">
        <v>1242</v>
      </c>
      <c r="Q20" s="68">
        <f>IF(E20="OnGainRelic", 0, IF(OR(P20="Quest", P20="Monster", P20="Event", D20="Basic", D20="Upgrade"), -1, MIN(IFERROR(VLOOKUP(D20, Relic_Price_Config!$A$5:$E$9, 4, FALSE), 350), MAX(IFERROR(VLOOKUP(D20, Relic_Price_Config!$A$5:$E$9, 3, FALSE), 210), ROUND((IFERROR(VLOOKUP(F20, Relic_Price_Config!$G$5:$N$100, 4, FALSE), 280) + N(H20) * IFERROR(VLOOKUP(F20, Relic_Price_Config!$G$5:$N$100, 5, FALSE), 10) + ABS(N(M20)) * IFERROR(VLOOKUP(F20, Relic_Price_Config!$G$5:$N$100, 6, FALSE), 15) + IF(N(N20)&gt;1, (N(N20)-1)*10, 0)) * IFERROR(VLOOKUP(D20, Relic_Price_Config!$A$5:$E$9, 2, FALSE), 1), 0)))))</f>
        <v>330</v>
      </c>
      <c r="R20" s="68">
        <f t="shared" si="0"/>
        <v>230</v>
      </c>
      <c r="S20" s="68">
        <f t="shared" si="1"/>
        <v>430</v>
      </c>
      <c r="T20" s="68">
        <f>IF(E20="OnGainRelic", 0, MIN(IFERROR(VLOOKUP(D20, Relic_Price_Config!$A$5:$E$9, 4, FALSE), 350), MAX(IFERROR(VLOOKUP(D20, Relic_Price_Config!$A$5:$E$9, 3, FALSE), 210), ROUND((IFERROR(VLOOKUP(F20, Relic_Price_Config!$G$5:$N$100, 4, FALSE), 280) + N(H20) * IFERROR(VLOOKUP(F20, Relic_Price_Config!$G$5:$N$100, 5, FALSE), 10) + ABS(N(M20)) * IFERROR(VLOOKUP(F20, Relic_Price_Config!$G$5:$N$100, 6, FALSE), 15) + IF(N(N20)&gt;1, (N(N20)-1)*10, 0)) * IFERROR(VLOOKUP(D20, Relic_Price_Config!$A$5:$E$9, 2, FALSE), 1), 0))))</f>
        <v>330</v>
      </c>
      <c r="U20" s="56" t="str">
        <f>IF(E20="OnGainRelic", "획득 시 즉발 (0원)", IFERROR(VLOOKUP(F20, Relic_Price_Config!$G$5:$N$100, 2, FALSE), "기타 효과"))</f>
        <v>공격 증가 [아군 공격 상승]</v>
      </c>
    </row>
    <row r="21" spans="1:21" ht="17.25" customHeight="1">
      <c r="A21" s="56" t="s">
        <v>2257</v>
      </c>
      <c r="B21" s="57" t="s">
        <v>2258</v>
      </c>
      <c r="C21" s="57" t="s">
        <v>2259</v>
      </c>
      <c r="D21" s="56" t="s">
        <v>34</v>
      </c>
      <c r="E21" s="56" t="s">
        <v>2260</v>
      </c>
      <c r="F21" s="56" t="s">
        <v>70</v>
      </c>
      <c r="G21" s="56" t="s">
        <v>45</v>
      </c>
      <c r="H21" s="56">
        <v>0</v>
      </c>
      <c r="I21" s="56"/>
      <c r="J21" s="56">
        <v>0</v>
      </c>
      <c r="K21" s="56" t="s">
        <v>71</v>
      </c>
      <c r="L21" s="56"/>
      <c r="M21" s="56">
        <v>2</v>
      </c>
      <c r="N21" s="56">
        <v>-1</v>
      </c>
      <c r="O21" s="56">
        <v>-1</v>
      </c>
      <c r="P21" s="56" t="s">
        <v>1242</v>
      </c>
      <c r="Q21" s="68">
        <f>IF(E21="OnGainRelic", 0, IF(OR(P21="Quest", P21="Monster", P21="Event", D21="Basic", D21="Upgrade"), -1, MIN(IFERROR(VLOOKUP(D21, Relic_Price_Config!$A$5:$E$9, 4, FALSE), 350), MAX(IFERROR(VLOOKUP(D21, Relic_Price_Config!$A$5:$E$9, 3, FALSE), 210), ROUND((IFERROR(VLOOKUP(F21, Relic_Price_Config!$G$5:$N$100, 4, FALSE), 280) + N(H21) * IFERROR(VLOOKUP(F21, Relic_Price_Config!$G$5:$N$100, 5, FALSE), 10) + ABS(N(M21)) * IFERROR(VLOOKUP(F21, Relic_Price_Config!$G$5:$N$100, 6, FALSE), 15) + IF(N(N21)&gt;1, (N(N21)-1)*10, 0)) * IFERROR(VLOOKUP(D21, Relic_Price_Config!$A$5:$E$9, 2, FALSE), 1), 0)))))</f>
        <v>330</v>
      </c>
      <c r="R21" s="68">
        <f t="shared" si="0"/>
        <v>230</v>
      </c>
      <c r="S21" s="68">
        <f t="shared" si="1"/>
        <v>430</v>
      </c>
      <c r="T21" s="68">
        <f>IF(E21="OnGainRelic", 0, MIN(IFERROR(VLOOKUP(D21, Relic_Price_Config!$A$5:$E$9, 4, FALSE), 350), MAX(IFERROR(VLOOKUP(D21, Relic_Price_Config!$A$5:$E$9, 3, FALSE), 210), ROUND((IFERROR(VLOOKUP(F21, Relic_Price_Config!$G$5:$N$100, 4, FALSE), 280) + N(H21) * IFERROR(VLOOKUP(F21, Relic_Price_Config!$G$5:$N$100, 5, FALSE), 10) + ABS(N(M21)) * IFERROR(VLOOKUP(F21, Relic_Price_Config!$G$5:$N$100, 6, FALSE), 15) + IF(N(N21)&gt;1, (N(N21)-1)*10, 0)) * IFERROR(VLOOKUP(D21, Relic_Price_Config!$A$5:$E$9, 2, FALSE), 1), 0))))</f>
        <v>330</v>
      </c>
      <c r="U21" s="56" t="str">
        <f>IF(E21="OnGainRelic", "획득 시 즉발 (0원)", IFERROR(VLOOKUP(F21, Relic_Price_Config!$G$5:$N$100, 2, FALSE), "기타 효과"))</f>
        <v>공격 증가 [아군 공격 상승]</v>
      </c>
    </row>
    <row r="22" spans="1:21" ht="17.25" customHeight="1">
      <c r="A22" s="56" t="s">
        <v>2261</v>
      </c>
      <c r="B22" s="57" t="s">
        <v>2262</v>
      </c>
      <c r="C22" s="57" t="s">
        <v>2263</v>
      </c>
      <c r="D22" s="56" t="s">
        <v>34</v>
      </c>
      <c r="E22" s="56" t="s">
        <v>2260</v>
      </c>
      <c r="F22" s="56" t="s">
        <v>1860</v>
      </c>
      <c r="G22" s="56" t="s">
        <v>45</v>
      </c>
      <c r="H22" s="56">
        <v>0</v>
      </c>
      <c r="I22" s="56"/>
      <c r="J22" s="56">
        <v>0</v>
      </c>
      <c r="K22" s="56" t="s">
        <v>229</v>
      </c>
      <c r="L22" s="56"/>
      <c r="M22" s="56">
        <v>2</v>
      </c>
      <c r="N22" s="56">
        <v>-1</v>
      </c>
      <c r="O22" s="56">
        <v>-1</v>
      </c>
      <c r="P22" s="56" t="s">
        <v>1242</v>
      </c>
      <c r="Q22" s="68">
        <f>IF(E22="OnGainRelic", 0, IF(OR(P22="Quest", P22="Monster", P22="Event", D22="Basic", D22="Upgrade"), -1, MIN(IFERROR(VLOOKUP(D22, Relic_Price_Config!$A$5:$E$9, 4, FALSE), 350), MAX(IFERROR(VLOOKUP(D22, Relic_Price_Config!$A$5:$E$9, 3, FALSE), 210), ROUND((IFERROR(VLOOKUP(F22, Relic_Price_Config!$G$5:$N$100, 4, FALSE), 280) + N(H22) * IFERROR(VLOOKUP(F22, Relic_Price_Config!$G$5:$N$100, 5, FALSE), 10) + ABS(N(M22)) * IFERROR(VLOOKUP(F22, Relic_Price_Config!$G$5:$N$100, 6, FALSE), 15) + IF(N(N22)&gt;1, (N(N22)-1)*10, 0)) * IFERROR(VLOOKUP(D22, Relic_Price_Config!$A$5:$E$9, 2, FALSE), 1), 0)))))</f>
        <v>330</v>
      </c>
      <c r="R22" s="68">
        <f t="shared" si="0"/>
        <v>230</v>
      </c>
      <c r="S22" s="68">
        <f t="shared" si="1"/>
        <v>430</v>
      </c>
      <c r="T22" s="68">
        <f>IF(E22="OnGainRelic", 0, MIN(IFERROR(VLOOKUP(D22, Relic_Price_Config!$A$5:$E$9, 4, FALSE), 350), MAX(IFERROR(VLOOKUP(D22, Relic_Price_Config!$A$5:$E$9, 3, FALSE), 210), ROUND((IFERROR(VLOOKUP(F22, Relic_Price_Config!$G$5:$N$100, 4, FALSE), 280) + N(H22) * IFERROR(VLOOKUP(F22, Relic_Price_Config!$G$5:$N$100, 5, FALSE), 10) + ABS(N(M22)) * IFERROR(VLOOKUP(F22, Relic_Price_Config!$G$5:$N$100, 6, FALSE), 15) + IF(N(N22)&gt;1, (N(N22)-1)*10, 0)) * IFERROR(VLOOKUP(D22, Relic_Price_Config!$A$5:$E$9, 2, FALSE), 1), 0))))</f>
        <v>330</v>
      </c>
      <c r="U22" s="56" t="str">
        <f>IF(E22="OnGainRelic", "획득 시 즉발 (0원)", IFERROR(VLOOKUP(F22, Relic_Price_Config!$G$5:$N$100, 2, FALSE), "기타 효과"))</f>
        <v>방어 증가 [아군 방어 상승]</v>
      </c>
    </row>
    <row r="23" spans="1:21" ht="17.25" customHeight="1">
      <c r="A23" s="56" t="s">
        <v>2264</v>
      </c>
      <c r="B23" s="57" t="s">
        <v>2265</v>
      </c>
      <c r="C23" s="57" t="s">
        <v>2266</v>
      </c>
      <c r="D23" s="56" t="s">
        <v>295</v>
      </c>
      <c r="E23" s="56" t="s">
        <v>2202</v>
      </c>
      <c r="F23" s="56" t="s">
        <v>70</v>
      </c>
      <c r="G23" s="56" t="s">
        <v>45</v>
      </c>
      <c r="H23" s="56">
        <v>0</v>
      </c>
      <c r="I23" s="56"/>
      <c r="J23" s="56">
        <v>0</v>
      </c>
      <c r="K23" s="56" t="s">
        <v>71</v>
      </c>
      <c r="L23" s="56"/>
      <c r="M23" s="56">
        <v>3</v>
      </c>
      <c r="N23" s="56">
        <v>-1</v>
      </c>
      <c r="O23" s="56">
        <v>-1</v>
      </c>
      <c r="P23" s="56" t="s">
        <v>1729</v>
      </c>
      <c r="Q23" s="68">
        <f>IF(E23="OnGainRelic", 0, IF(OR(P23="Quest", P23="Monster", P23="Event", D23="Basic", D23="Upgrade"), -1, MIN(IFERROR(VLOOKUP(D23, Relic_Price_Config!$A$5:$E$9, 4, FALSE), 350), MAX(IFERROR(VLOOKUP(D23, Relic_Price_Config!$A$5:$E$9, 3, FALSE), 210), ROUND((IFERROR(VLOOKUP(F23, Relic_Price_Config!$G$5:$N$100, 4, FALSE), 280) + N(H23) * IFERROR(VLOOKUP(F23, Relic_Price_Config!$G$5:$N$100, 5, FALSE), 10) + ABS(N(M23)) * IFERROR(VLOOKUP(F23, Relic_Price_Config!$G$5:$N$100, 6, FALSE), 15) + IF(N(N23)&gt;1, (N(N23)-1)*10, 0)) * IFERROR(VLOOKUP(D23, Relic_Price_Config!$A$5:$E$9, 2, FALSE), 1), 0)))))</f>
        <v>-1</v>
      </c>
      <c r="R23" s="68">
        <f t="shared" si="0"/>
        <v>490</v>
      </c>
      <c r="S23" s="68">
        <f t="shared" si="1"/>
        <v>910</v>
      </c>
      <c r="T23" s="68">
        <f>IF(E23="OnGainRelic", 0, MIN(IFERROR(VLOOKUP(D23, Relic_Price_Config!$A$5:$E$9, 4, FALSE), 350), MAX(IFERROR(VLOOKUP(D23, Relic_Price_Config!$A$5:$E$9, 3, FALSE), 210), ROUND((IFERROR(VLOOKUP(F23, Relic_Price_Config!$G$5:$N$100, 4, FALSE), 280) + N(H23) * IFERROR(VLOOKUP(F23, Relic_Price_Config!$G$5:$N$100, 5, FALSE), 10) + ABS(N(M23)) * IFERROR(VLOOKUP(F23, Relic_Price_Config!$G$5:$N$100, 6, FALSE), 15) + IF(N(N23)&gt;1, (N(N23)-1)*10, 0)) * IFERROR(VLOOKUP(D23, Relic_Price_Config!$A$5:$E$9, 2, FALSE), 1), 0))))</f>
        <v>700</v>
      </c>
      <c r="U23" s="56" t="str">
        <f>IF(E23="OnGainRelic", "획득 시 즉발 (0원)", IFERROR(VLOOKUP(F23, Relic_Price_Config!$G$5:$N$100, 2, FALSE), "기타 효과"))</f>
        <v>공격 증가 [아군 공격 상승]</v>
      </c>
    </row>
    <row r="24" spans="1:21" ht="41.4" customHeight="1">
      <c r="A24" s="56" t="s">
        <v>2267</v>
      </c>
      <c r="B24" s="57" t="s">
        <v>2268</v>
      </c>
      <c r="C24" s="62" t="s">
        <v>2269</v>
      </c>
      <c r="D24" s="56" t="s">
        <v>295</v>
      </c>
      <c r="E24" s="56" t="s">
        <v>2136</v>
      </c>
      <c r="F24" s="56" t="s">
        <v>1579</v>
      </c>
      <c r="G24" s="56" t="s">
        <v>45</v>
      </c>
      <c r="H24" s="56">
        <v>2</v>
      </c>
      <c r="I24" s="56"/>
      <c r="J24" s="56">
        <v>0</v>
      </c>
      <c r="K24" s="56"/>
      <c r="L24" s="56"/>
      <c r="M24" s="56">
        <v>0</v>
      </c>
      <c r="N24" s="56">
        <v>0</v>
      </c>
      <c r="O24" s="56">
        <v>-1</v>
      </c>
      <c r="P24" s="56" t="s">
        <v>1729</v>
      </c>
      <c r="Q24" s="68">
        <f>IF(E24="OnGainRelic", 0, IF(OR(P24="Quest", P24="Monster", P24="Event", D24="Basic", D24="Upgrade"), -1, MIN(IFERROR(VLOOKUP(D24, Relic_Price_Config!$A$5:$E$9, 4, FALSE), 350), MAX(IFERROR(VLOOKUP(D24, Relic_Price_Config!$A$5:$E$9, 3, FALSE), 210), ROUND((IFERROR(VLOOKUP(F24, Relic_Price_Config!$G$5:$N$100, 4, FALSE), 280) + N(H24) * IFERROR(VLOOKUP(F24, Relic_Price_Config!$G$5:$N$100, 5, FALSE), 10) + ABS(N(M24)) * IFERROR(VLOOKUP(F24, Relic_Price_Config!$G$5:$N$100, 6, FALSE), 15) + IF(N(N24)&gt;1, (N(N24)-1)*10, 0)) * IFERROR(VLOOKUP(D24, Relic_Price_Config!$A$5:$E$9, 2, FALSE), 1), 0)))))</f>
        <v>-1</v>
      </c>
      <c r="R24" s="68">
        <f t="shared" si="0"/>
        <v>420</v>
      </c>
      <c r="S24" s="68">
        <f t="shared" si="1"/>
        <v>780</v>
      </c>
      <c r="T24" s="68">
        <f>IF(E24="OnGainRelic", 0, MIN(IFERROR(VLOOKUP(D24, Relic_Price_Config!$A$5:$E$9, 4, FALSE), 350), MAX(IFERROR(VLOOKUP(D24, Relic_Price_Config!$A$5:$E$9, 3, FALSE), 210), ROUND((IFERROR(VLOOKUP(F24, Relic_Price_Config!$G$5:$N$100, 4, FALSE), 280) + N(H24) * IFERROR(VLOOKUP(F24, Relic_Price_Config!$G$5:$N$100, 5, FALSE), 10) + ABS(N(M24)) * IFERROR(VLOOKUP(F24, Relic_Price_Config!$G$5:$N$100, 6, FALSE), 15) + IF(N(N24)&gt;1, (N(N24)-1)*10, 0)) * IFERROR(VLOOKUP(D24, Relic_Price_Config!$A$5:$E$9, 2, FALSE), 1), 0))))</f>
        <v>600</v>
      </c>
      <c r="U24" s="56" t="str">
        <f>IF(E24="OnGainRelic", "획득 시 즉발 (0원)", IFERROR(VLOOKUP(F24, Relic_Price_Config!$G$5:$N$100, 2, FALSE), "기타 효과"))</f>
        <v>방어 관련 [체력 회복]</v>
      </c>
    </row>
    <row r="25" spans="1:21" ht="17.25" customHeight="1">
      <c r="A25" s="56" t="s">
        <v>2270</v>
      </c>
      <c r="B25" s="57" t="s">
        <v>2271</v>
      </c>
      <c r="C25" s="57" t="s">
        <v>2272</v>
      </c>
      <c r="D25" s="56" t="s">
        <v>295</v>
      </c>
      <c r="E25" s="56" t="s">
        <v>2125</v>
      </c>
      <c r="F25" s="56" t="s">
        <v>146</v>
      </c>
      <c r="G25" s="56" t="s">
        <v>45</v>
      </c>
      <c r="H25" s="56">
        <v>1</v>
      </c>
      <c r="I25" s="56"/>
      <c r="J25" s="56">
        <v>0</v>
      </c>
      <c r="K25" s="56"/>
      <c r="L25" s="56"/>
      <c r="M25" s="56">
        <v>0</v>
      </c>
      <c r="N25" s="56">
        <v>0</v>
      </c>
      <c r="O25" s="56">
        <v>-1</v>
      </c>
      <c r="P25" s="56" t="s">
        <v>1729</v>
      </c>
      <c r="Q25" s="68">
        <f>IF(E25="OnGainRelic", 0, IF(OR(P25="Quest", P25="Monster", P25="Event", D25="Basic", D25="Upgrade"), -1, MIN(IFERROR(VLOOKUP(D25, Relic_Price_Config!$A$5:$E$9, 4, FALSE), 350), MAX(IFERROR(VLOOKUP(D25, Relic_Price_Config!$A$5:$E$9, 3, FALSE), 210), ROUND((IFERROR(VLOOKUP(F25, Relic_Price_Config!$G$5:$N$100, 4, FALSE), 280) + N(H25) * IFERROR(VLOOKUP(F25, Relic_Price_Config!$G$5:$N$100, 5, FALSE), 10) + ABS(N(M25)) * IFERROR(VLOOKUP(F25, Relic_Price_Config!$G$5:$N$100, 6, FALSE), 15) + IF(N(N25)&gt;1, (N(N25)-1)*10, 0)) * IFERROR(VLOOKUP(D25, Relic_Price_Config!$A$5:$E$9, 2, FALSE), 1), 0)))))</f>
        <v>-1</v>
      </c>
      <c r="R25" s="68">
        <f t="shared" si="0"/>
        <v>460</v>
      </c>
      <c r="S25" s="68">
        <f t="shared" si="1"/>
        <v>860</v>
      </c>
      <c r="T25" s="68">
        <f>IF(E25="OnGainRelic", 0, MIN(IFERROR(VLOOKUP(D25, Relic_Price_Config!$A$5:$E$9, 4, FALSE), 350), MAX(IFERROR(VLOOKUP(D25, Relic_Price_Config!$A$5:$E$9, 3, FALSE), 210), ROUND((IFERROR(VLOOKUP(F25, Relic_Price_Config!$G$5:$N$100, 4, FALSE), 280) + N(H25) * IFERROR(VLOOKUP(F25, Relic_Price_Config!$G$5:$N$100, 5, FALSE), 10) + ABS(N(M25)) * IFERROR(VLOOKUP(F25, Relic_Price_Config!$G$5:$N$100, 6, FALSE), 15) + IF(N(N25)&gt;1, (N(N25)-1)*10, 0)) * IFERROR(VLOOKUP(D25, Relic_Price_Config!$A$5:$E$9, 2, FALSE), 1), 0))))</f>
        <v>660</v>
      </c>
      <c r="U25" s="56" t="str">
        <f>IF(E25="OnGainRelic", "획득 시 즉발 (0원)", IFERROR(VLOOKUP(F25, Relic_Price_Config!$G$5:$N$100, 2, FALSE), "기타 효과"))</f>
        <v>에너지 관련 (행동력 추가)</v>
      </c>
    </row>
    <row r="26" spans="1:21" ht="17.25" customHeight="1">
      <c r="A26" s="56" t="s">
        <v>2273</v>
      </c>
      <c r="B26" s="57" t="s">
        <v>2274</v>
      </c>
      <c r="C26" s="57" t="s">
        <v>2275</v>
      </c>
      <c r="D26" s="56" t="s">
        <v>295</v>
      </c>
      <c r="E26" s="56" t="s">
        <v>2202</v>
      </c>
      <c r="F26" s="56" t="s">
        <v>1327</v>
      </c>
      <c r="G26" s="56" t="s">
        <v>45</v>
      </c>
      <c r="H26" s="56">
        <v>0</v>
      </c>
      <c r="I26" s="56"/>
      <c r="J26" s="56">
        <v>0</v>
      </c>
      <c r="K26" s="56" t="s">
        <v>316</v>
      </c>
      <c r="L26" s="56"/>
      <c r="M26" s="56">
        <v>3</v>
      </c>
      <c r="N26" s="56">
        <v>-1</v>
      </c>
      <c r="O26" s="56">
        <v>-1</v>
      </c>
      <c r="P26" s="56" t="s">
        <v>1729</v>
      </c>
      <c r="Q26" s="68">
        <f>IF(E26="OnGainRelic", 0, IF(OR(P26="Quest", P26="Monster", P26="Event", D26="Basic", D26="Upgrade"), -1, MIN(IFERROR(VLOOKUP(D26, Relic_Price_Config!$A$5:$E$9, 4, FALSE), 350), MAX(IFERROR(VLOOKUP(D26, Relic_Price_Config!$A$5:$E$9, 3, FALSE), 210), ROUND((IFERROR(VLOOKUP(F26, Relic_Price_Config!$G$5:$N$100, 4, FALSE), 280) + N(H26) * IFERROR(VLOOKUP(F26, Relic_Price_Config!$G$5:$N$100, 5, FALSE), 10) + ABS(N(M26)) * IFERROR(VLOOKUP(F26, Relic_Price_Config!$G$5:$N$100, 6, FALSE), 15) + IF(N(N26)&gt;1, (N(N26)-1)*10, 0)) * IFERROR(VLOOKUP(D26, Relic_Price_Config!$A$5:$E$9, 2, FALSE), 1), 0)))))</f>
        <v>-1</v>
      </c>
      <c r="R26" s="68">
        <f t="shared" si="0"/>
        <v>490</v>
      </c>
      <c r="S26" s="68">
        <f t="shared" si="1"/>
        <v>910</v>
      </c>
      <c r="T26" s="68">
        <f>IF(E26="OnGainRelic", 0, MIN(IFERROR(VLOOKUP(D26, Relic_Price_Config!$A$5:$E$9, 4, FALSE), 350), MAX(IFERROR(VLOOKUP(D26, Relic_Price_Config!$A$5:$E$9, 3, FALSE), 210), ROUND((IFERROR(VLOOKUP(F26, Relic_Price_Config!$G$5:$N$100, 4, FALSE), 280) + N(H26) * IFERROR(VLOOKUP(F26, Relic_Price_Config!$G$5:$N$100, 5, FALSE), 10) + ABS(N(M26)) * IFERROR(VLOOKUP(F26, Relic_Price_Config!$G$5:$N$100, 6, FALSE), 15) + IF(N(N26)&gt;1, (N(N26)-1)*10, 0)) * IFERROR(VLOOKUP(D26, Relic_Price_Config!$A$5:$E$9, 2, FALSE), 1), 0))))</f>
        <v>700</v>
      </c>
      <c r="U26" s="56" t="str">
        <f>IF(E26="OnGainRelic", "획득 시 즉발 (0원)", IFERROR(VLOOKUP(F26, Relic_Price_Config!$G$5:$N$100, 2, FALSE), "기타 효과"))</f>
        <v>방어 증가 [받는 피해 감소]</v>
      </c>
    </row>
    <row r="27" spans="1:21" ht="41.4" customHeight="1">
      <c r="A27" s="56" t="s">
        <v>2276</v>
      </c>
      <c r="B27" s="57" t="s">
        <v>2277</v>
      </c>
      <c r="C27" s="62" t="s">
        <v>2278</v>
      </c>
      <c r="D27" s="56" t="s">
        <v>295</v>
      </c>
      <c r="E27" s="56" t="s">
        <v>2279</v>
      </c>
      <c r="F27" s="56" t="s">
        <v>1579</v>
      </c>
      <c r="G27" s="56" t="s">
        <v>45</v>
      </c>
      <c r="H27" s="56">
        <v>2</v>
      </c>
      <c r="I27" s="56"/>
      <c r="J27" s="56">
        <v>0</v>
      </c>
      <c r="K27" s="56"/>
      <c r="L27" s="56"/>
      <c r="M27" s="56">
        <v>0</v>
      </c>
      <c r="N27" s="56">
        <v>0</v>
      </c>
      <c r="O27" s="56">
        <v>-1</v>
      </c>
      <c r="P27" s="56" t="s">
        <v>1729</v>
      </c>
      <c r="Q27" s="68">
        <f>IF(E27="OnGainRelic", 0, IF(OR(P27="Quest", P27="Monster", P27="Event", D27="Basic", D27="Upgrade"), -1, MIN(IFERROR(VLOOKUP(D27, Relic_Price_Config!$A$5:$E$9, 4, FALSE), 350), MAX(IFERROR(VLOOKUP(D27, Relic_Price_Config!$A$5:$E$9, 3, FALSE), 210), ROUND((IFERROR(VLOOKUP(F27, Relic_Price_Config!$G$5:$N$100, 4, FALSE), 280) + N(H27) * IFERROR(VLOOKUP(F27, Relic_Price_Config!$G$5:$N$100, 5, FALSE), 10) + ABS(N(M27)) * IFERROR(VLOOKUP(F27, Relic_Price_Config!$G$5:$N$100, 6, FALSE), 15) + IF(N(N27)&gt;1, (N(N27)-1)*10, 0)) * IFERROR(VLOOKUP(D27, Relic_Price_Config!$A$5:$E$9, 2, FALSE), 1), 0)))))</f>
        <v>-1</v>
      </c>
      <c r="R27" s="68">
        <f t="shared" si="0"/>
        <v>420</v>
      </c>
      <c r="S27" s="68">
        <f t="shared" si="1"/>
        <v>780</v>
      </c>
      <c r="T27" s="68">
        <f>IF(E27="OnGainRelic", 0, MIN(IFERROR(VLOOKUP(D27, Relic_Price_Config!$A$5:$E$9, 4, FALSE), 350), MAX(IFERROR(VLOOKUP(D27, Relic_Price_Config!$A$5:$E$9, 3, FALSE), 210), ROUND((IFERROR(VLOOKUP(F27, Relic_Price_Config!$G$5:$N$100, 4, FALSE), 280) + N(H27) * IFERROR(VLOOKUP(F27, Relic_Price_Config!$G$5:$N$100, 5, FALSE), 10) + ABS(N(M27)) * IFERROR(VLOOKUP(F27, Relic_Price_Config!$G$5:$N$100, 6, FALSE), 15) + IF(N(N27)&gt;1, (N(N27)-1)*10, 0)) * IFERROR(VLOOKUP(D27, Relic_Price_Config!$A$5:$E$9, 2, FALSE), 1), 0))))</f>
        <v>600</v>
      </c>
      <c r="U27" s="56" t="str">
        <f>IF(E27="OnGainRelic", "획득 시 즉발 (0원)", IFERROR(VLOOKUP(F27, Relic_Price_Config!$G$5:$N$100, 2, FALSE), "기타 효과"))</f>
        <v>방어 관련 [체력 회복]</v>
      </c>
    </row>
    <row r="28" spans="1:21" ht="27.6" customHeight="1">
      <c r="A28" s="56" t="s">
        <v>2280</v>
      </c>
      <c r="B28" s="57" t="s">
        <v>2281</v>
      </c>
      <c r="C28" s="57" t="s">
        <v>2282</v>
      </c>
      <c r="D28" s="56" t="s">
        <v>295</v>
      </c>
      <c r="E28" s="56" t="s">
        <v>2202</v>
      </c>
      <c r="F28" s="56" t="s">
        <v>1308</v>
      </c>
      <c r="G28" s="56" t="s">
        <v>108</v>
      </c>
      <c r="H28" s="56">
        <v>0</v>
      </c>
      <c r="I28" s="56"/>
      <c r="J28" s="56">
        <v>0</v>
      </c>
      <c r="K28" s="56" t="s">
        <v>130</v>
      </c>
      <c r="L28" s="56"/>
      <c r="M28" s="56">
        <v>2</v>
      </c>
      <c r="N28" s="56">
        <v>2</v>
      </c>
      <c r="O28" s="56">
        <v>-1</v>
      </c>
      <c r="P28" s="56" t="s">
        <v>1729</v>
      </c>
      <c r="Q28" s="68">
        <f>IF(E28="OnGainRelic", 0, IF(OR(P28="Quest", P28="Monster", P28="Event", D28="Basic", D28="Upgrade"), -1, MIN(IFERROR(VLOOKUP(D28, Relic_Price_Config!$A$5:$E$9, 4, FALSE), 350), MAX(IFERROR(VLOOKUP(D28, Relic_Price_Config!$A$5:$E$9, 3, FALSE), 210), ROUND((IFERROR(VLOOKUP(F28, Relic_Price_Config!$G$5:$N$100, 4, FALSE), 280) + N(H28) * IFERROR(VLOOKUP(F28, Relic_Price_Config!$G$5:$N$100, 5, FALSE), 10) + ABS(N(M28)) * IFERROR(VLOOKUP(F28, Relic_Price_Config!$G$5:$N$100, 6, FALSE), 15) + IF(N(N28)&gt;1, (N(N28)-1)*10, 0)) * IFERROR(VLOOKUP(D28, Relic_Price_Config!$A$5:$E$9, 2, FALSE), 1), 0)))))</f>
        <v>-1</v>
      </c>
      <c r="R28" s="68">
        <f t="shared" si="0"/>
        <v>455</v>
      </c>
      <c r="S28" s="68">
        <f t="shared" si="1"/>
        <v>845</v>
      </c>
      <c r="T28" s="68">
        <f>IF(E28="OnGainRelic", 0, MIN(IFERROR(VLOOKUP(D28, Relic_Price_Config!$A$5:$E$9, 4, FALSE), 350), MAX(IFERROR(VLOOKUP(D28, Relic_Price_Config!$A$5:$E$9, 3, FALSE), 210), ROUND((IFERROR(VLOOKUP(F28, Relic_Price_Config!$G$5:$N$100, 4, FALSE), 280) + N(H28) * IFERROR(VLOOKUP(F28, Relic_Price_Config!$G$5:$N$100, 5, FALSE), 10) + ABS(N(M28)) * IFERROR(VLOOKUP(F28, Relic_Price_Config!$G$5:$N$100, 6, FALSE), 15) + IF(N(N28)&gt;1, (N(N28)-1)*10, 0)) * IFERROR(VLOOKUP(D28, Relic_Price_Config!$A$5:$E$9, 2, FALSE), 1), 0))))</f>
        <v>650</v>
      </c>
      <c r="U28" s="56" t="str">
        <f>IF(E28="OnGainRelic", "획득 시 즉발 (0원)", IFERROR(VLOOKUP(F28, Relic_Price_Config!$G$5:$N$100, 2, FALSE), "기타 효과"))</f>
        <v>공격 증가 [적 방어 스탯 감소]</v>
      </c>
    </row>
    <row r="29" spans="1:21" ht="17.25" customHeight="1">
      <c r="A29" s="56" t="s">
        <v>2283</v>
      </c>
      <c r="B29" s="57" t="s">
        <v>2284</v>
      </c>
      <c r="C29" s="62" t="s">
        <v>2285</v>
      </c>
      <c r="D29" s="56" t="s">
        <v>295</v>
      </c>
      <c r="E29" s="56" t="s">
        <v>2229</v>
      </c>
      <c r="F29" s="56" t="s">
        <v>44</v>
      </c>
      <c r="G29" s="56" t="s">
        <v>45</v>
      </c>
      <c r="H29" s="56">
        <v>7</v>
      </c>
      <c r="I29" s="56"/>
      <c r="J29" s="56">
        <v>0</v>
      </c>
      <c r="K29" s="56"/>
      <c r="L29" s="56"/>
      <c r="M29" s="56">
        <v>0</v>
      </c>
      <c r="N29" s="56">
        <v>0</v>
      </c>
      <c r="O29" s="56">
        <v>-1</v>
      </c>
      <c r="P29" s="56" t="s">
        <v>1729</v>
      </c>
      <c r="Q29" s="68">
        <f>IF(E29="OnGainRelic", 0, IF(OR(P29="Quest", P29="Monster", P29="Event", D29="Basic", D29="Upgrade"), -1, MIN(IFERROR(VLOOKUP(D29, Relic_Price_Config!$A$5:$E$9, 4, FALSE), 350), MAX(IFERROR(VLOOKUP(D29, Relic_Price_Config!$A$5:$E$9, 3, FALSE), 210), ROUND((IFERROR(VLOOKUP(F29, Relic_Price_Config!$G$5:$N$100, 4, FALSE), 280) + N(H29) * IFERROR(VLOOKUP(F29, Relic_Price_Config!$G$5:$N$100, 5, FALSE), 10) + ABS(N(M29)) * IFERROR(VLOOKUP(F29, Relic_Price_Config!$G$5:$N$100, 6, FALSE), 15) + IF(N(N29)&gt;1, (N(N29)-1)*10, 0)) * IFERROR(VLOOKUP(D29, Relic_Price_Config!$A$5:$E$9, 2, FALSE), 1), 0)))))</f>
        <v>-1</v>
      </c>
      <c r="R29" s="68">
        <f t="shared" si="0"/>
        <v>490</v>
      </c>
      <c r="S29" s="68">
        <f t="shared" si="1"/>
        <v>910</v>
      </c>
      <c r="T29" s="68">
        <f>IF(E29="OnGainRelic", 0, MIN(IFERROR(VLOOKUP(D29, Relic_Price_Config!$A$5:$E$9, 4, FALSE), 350), MAX(IFERROR(VLOOKUP(D29, Relic_Price_Config!$A$5:$E$9, 3, FALSE), 210), ROUND((IFERROR(VLOOKUP(F29, Relic_Price_Config!$G$5:$N$100, 4, FALSE), 280) + N(H29) * IFERROR(VLOOKUP(F29, Relic_Price_Config!$G$5:$N$100, 5, FALSE), 10) + ABS(N(M29)) * IFERROR(VLOOKUP(F29, Relic_Price_Config!$G$5:$N$100, 6, FALSE), 15) + IF(N(N29)&gt;1, (N(N29)-1)*10, 0)) * IFERROR(VLOOKUP(D29, Relic_Price_Config!$A$5:$E$9, 2, FALSE), 1), 0))))</f>
        <v>700</v>
      </c>
      <c r="U29" s="56" t="str">
        <f>IF(E29="OnGainRelic", "획득 시 즉발 (0원)", IFERROR(VLOOKUP(F29, Relic_Price_Config!$G$5:$N$100, 2, FALSE), "기타 효과"))</f>
        <v>방어 관련 [보호막 획득]</v>
      </c>
    </row>
    <row r="30" spans="1:21" ht="41.4" customHeight="1">
      <c r="A30" s="56" t="s">
        <v>2286</v>
      </c>
      <c r="B30" s="57" t="s">
        <v>2287</v>
      </c>
      <c r="C30" s="57" t="s">
        <v>2288</v>
      </c>
      <c r="D30" s="56" t="s">
        <v>295</v>
      </c>
      <c r="E30" s="56" t="s">
        <v>2289</v>
      </c>
      <c r="F30" s="56" t="s">
        <v>44</v>
      </c>
      <c r="G30" s="56" t="s">
        <v>45</v>
      </c>
      <c r="H30" s="56">
        <v>4</v>
      </c>
      <c r="I30" s="56"/>
      <c r="J30" s="56">
        <v>0</v>
      </c>
      <c r="K30" s="56"/>
      <c r="L30" s="56"/>
      <c r="M30" s="56">
        <v>0</v>
      </c>
      <c r="N30" s="56">
        <v>0</v>
      </c>
      <c r="O30" s="56">
        <v>-1</v>
      </c>
      <c r="P30" s="56" t="s">
        <v>1729</v>
      </c>
      <c r="Q30" s="68">
        <f>IF(E30="OnGainRelic", 0, IF(OR(P30="Quest", P30="Monster", P30="Event", D30="Basic", D30="Upgrade"), -1, MIN(IFERROR(VLOOKUP(D30, Relic_Price_Config!$A$5:$E$9, 4, FALSE), 350), MAX(IFERROR(VLOOKUP(D30, Relic_Price_Config!$A$5:$E$9, 3, FALSE), 210), ROUND((IFERROR(VLOOKUP(F30, Relic_Price_Config!$G$5:$N$100, 4, FALSE), 280) + N(H30) * IFERROR(VLOOKUP(F30, Relic_Price_Config!$G$5:$N$100, 5, FALSE), 10) + ABS(N(M30)) * IFERROR(VLOOKUP(F30, Relic_Price_Config!$G$5:$N$100, 6, FALSE), 15) + IF(N(N30)&gt;1, (N(N30)-1)*10, 0)) * IFERROR(VLOOKUP(D30, Relic_Price_Config!$A$5:$E$9, 2, FALSE), 1), 0)))))</f>
        <v>-1</v>
      </c>
      <c r="R30" s="68">
        <f t="shared" si="0"/>
        <v>460</v>
      </c>
      <c r="S30" s="68">
        <f t="shared" si="1"/>
        <v>860</v>
      </c>
      <c r="T30" s="68">
        <f>IF(E30="OnGainRelic", 0, MIN(IFERROR(VLOOKUP(D30, Relic_Price_Config!$A$5:$E$9, 4, FALSE), 350), MAX(IFERROR(VLOOKUP(D30, Relic_Price_Config!$A$5:$E$9, 3, FALSE), 210), ROUND((IFERROR(VLOOKUP(F30, Relic_Price_Config!$G$5:$N$100, 4, FALSE), 280) + N(H30) * IFERROR(VLOOKUP(F30, Relic_Price_Config!$G$5:$N$100, 5, FALSE), 10) + ABS(N(M30)) * IFERROR(VLOOKUP(F30, Relic_Price_Config!$G$5:$N$100, 6, FALSE), 15) + IF(N(N30)&gt;1, (N(N30)-1)*10, 0)) * IFERROR(VLOOKUP(D30, Relic_Price_Config!$A$5:$E$9, 2, FALSE), 1), 0))))</f>
        <v>660</v>
      </c>
      <c r="U30" s="56" t="str">
        <f>IF(E30="OnGainRelic", "획득 시 즉발 (0원)", IFERROR(VLOOKUP(F30, Relic_Price_Config!$G$5:$N$100, 2, FALSE), "기타 효과"))</f>
        <v>방어 관련 [보호막 획득]</v>
      </c>
    </row>
    <row r="31" spans="1:21" ht="55.2" customHeight="1">
      <c r="A31" s="56" t="s">
        <v>2290</v>
      </c>
      <c r="B31" s="57" t="s">
        <v>2291</v>
      </c>
      <c r="C31" s="57" t="s">
        <v>2292</v>
      </c>
      <c r="D31" s="56" t="s">
        <v>295</v>
      </c>
      <c r="E31" s="56" t="s">
        <v>2202</v>
      </c>
      <c r="F31" s="56" t="s">
        <v>1091</v>
      </c>
      <c r="G31" s="56" t="s">
        <v>108</v>
      </c>
      <c r="H31" s="56">
        <v>0</v>
      </c>
      <c r="I31" s="56"/>
      <c r="J31" s="56">
        <v>0</v>
      </c>
      <c r="K31" s="56" t="s">
        <v>357</v>
      </c>
      <c r="L31" s="56"/>
      <c r="M31" s="56">
        <v>1</v>
      </c>
      <c r="N31" s="56">
        <v>2</v>
      </c>
      <c r="O31" s="56">
        <v>-1</v>
      </c>
      <c r="P31" s="56" t="s">
        <v>1729</v>
      </c>
      <c r="Q31" s="68">
        <f>IF(E31="OnGainRelic", 0, IF(OR(P31="Quest", P31="Monster", P31="Event", D31="Basic", D31="Upgrade"), -1, MIN(IFERROR(VLOOKUP(D31, Relic_Price_Config!$A$5:$E$9, 4, FALSE), 350), MAX(IFERROR(VLOOKUP(D31, Relic_Price_Config!$A$5:$E$9, 3, FALSE), 210), ROUND((IFERROR(VLOOKUP(F31, Relic_Price_Config!$G$5:$N$100, 4, FALSE), 280) + N(H31) * IFERROR(VLOOKUP(F31, Relic_Price_Config!$G$5:$N$100, 5, FALSE), 10) + ABS(N(M31)) * IFERROR(VLOOKUP(F31, Relic_Price_Config!$G$5:$N$100, 6, FALSE), 15) + IF(N(N31)&gt;1, (N(N31)-1)*10, 0)) * IFERROR(VLOOKUP(D31, Relic_Price_Config!$A$5:$E$9, 2, FALSE), 1), 0)))))</f>
        <v>-1</v>
      </c>
      <c r="R31" s="68">
        <f t="shared" si="0"/>
        <v>450</v>
      </c>
      <c r="S31" s="68">
        <f t="shared" si="1"/>
        <v>830</v>
      </c>
      <c r="T31" s="68">
        <f>IF(E31="OnGainRelic", 0, MIN(IFERROR(VLOOKUP(D31, Relic_Price_Config!$A$5:$E$9, 4, FALSE), 350), MAX(IFERROR(VLOOKUP(D31, Relic_Price_Config!$A$5:$E$9, 3, FALSE), 210), ROUND((IFERROR(VLOOKUP(F31, Relic_Price_Config!$G$5:$N$100, 4, FALSE), 280) + N(H31) * IFERROR(VLOOKUP(F31, Relic_Price_Config!$G$5:$N$100, 5, FALSE), 10) + ABS(N(M31)) * IFERROR(VLOOKUP(F31, Relic_Price_Config!$G$5:$N$100, 6, FALSE), 15) + IF(N(N31)&gt;1, (N(N31)-1)*10, 0)) * IFERROR(VLOOKUP(D31, Relic_Price_Config!$A$5:$E$9, 2, FALSE), 1), 0))))</f>
        <v>640</v>
      </c>
      <c r="U31" s="56" t="str">
        <f>IF(E31="OnGainRelic", "획득 시 즉발 (0원)", IFERROR(VLOOKUP(F31, Relic_Price_Config!$G$5:$N$100, 2, FALSE), "기타 효과"))</f>
        <v>방어 증가 [적 공격/화력 감소]</v>
      </c>
    </row>
    <row r="32" spans="1:21" ht="27.6" customHeight="1">
      <c r="A32" s="56" t="s">
        <v>2293</v>
      </c>
      <c r="B32" s="57" t="s">
        <v>2294</v>
      </c>
      <c r="C32" s="62" t="s">
        <v>2295</v>
      </c>
      <c r="D32" s="56" t="s">
        <v>295</v>
      </c>
      <c r="E32" s="56" t="s">
        <v>2202</v>
      </c>
      <c r="F32" s="56" t="s">
        <v>1338</v>
      </c>
      <c r="G32" s="56" t="s">
        <v>45</v>
      </c>
      <c r="H32" s="56">
        <v>0</v>
      </c>
      <c r="I32" s="56"/>
      <c r="J32" s="56">
        <v>0</v>
      </c>
      <c r="K32" s="56" t="s">
        <v>1011</v>
      </c>
      <c r="L32" s="56"/>
      <c r="M32" s="56">
        <v>1</v>
      </c>
      <c r="N32" s="56">
        <v>1</v>
      </c>
      <c r="O32" s="56">
        <v>-1</v>
      </c>
      <c r="P32" s="56" t="s">
        <v>1729</v>
      </c>
      <c r="Q32" s="68">
        <f>IF(E32="OnGainRelic", 0, IF(OR(P32="Quest", P32="Monster", P32="Event", D32="Basic", D32="Upgrade"), -1, MIN(IFERROR(VLOOKUP(D32, Relic_Price_Config!$A$5:$E$9, 4, FALSE), 350), MAX(IFERROR(VLOOKUP(D32, Relic_Price_Config!$A$5:$E$9, 3, FALSE), 210), ROUND((IFERROR(VLOOKUP(F32, Relic_Price_Config!$G$5:$N$100, 4, FALSE), 280) + N(H32) * IFERROR(VLOOKUP(F32, Relic_Price_Config!$G$5:$N$100, 5, FALSE), 10) + ABS(N(M32)) * IFERROR(VLOOKUP(F32, Relic_Price_Config!$G$5:$N$100, 6, FALSE), 15) + IF(N(N32)&gt;1, (N(N32)-1)*10, 0)) * IFERROR(VLOOKUP(D32, Relic_Price_Config!$A$5:$E$9, 2, FALSE), 1), 0)))))</f>
        <v>-1</v>
      </c>
      <c r="R32" s="68">
        <f t="shared" si="0"/>
        <v>415</v>
      </c>
      <c r="S32" s="68">
        <f t="shared" si="1"/>
        <v>765</v>
      </c>
      <c r="T32" s="68">
        <f>IF(E32="OnGainRelic", 0, MIN(IFERROR(VLOOKUP(D32, Relic_Price_Config!$A$5:$E$9, 4, FALSE), 350), MAX(IFERROR(VLOOKUP(D32, Relic_Price_Config!$A$5:$E$9, 3, FALSE), 210), ROUND((IFERROR(VLOOKUP(F32, Relic_Price_Config!$G$5:$N$100, 4, FALSE), 280) + N(H32) * IFERROR(VLOOKUP(F32, Relic_Price_Config!$G$5:$N$100, 5, FALSE), 10) + ABS(N(M32)) * IFERROR(VLOOKUP(F32, Relic_Price_Config!$G$5:$N$100, 6, FALSE), 15) + IF(N(N32)&gt;1, (N(N32)-1)*10, 0)) * IFERROR(VLOOKUP(D32, Relic_Price_Config!$A$5:$E$9, 2, FALSE), 1), 0))))</f>
        <v>590</v>
      </c>
      <c r="U32" s="56" t="str">
        <f>IF(E32="OnGainRelic", "획득 시 즉발 (0원)", IFERROR(VLOOKUP(F32, Relic_Price_Config!$G$5:$N$100, 2, FALSE), "기타 효과"))</f>
        <v>방어 관련 [실명: 피해 1 고정]</v>
      </c>
    </row>
    <row r="33" spans="1:21" ht="41.4" customHeight="1">
      <c r="A33" s="56" t="s">
        <v>2296</v>
      </c>
      <c r="B33" s="57" t="s">
        <v>2297</v>
      </c>
      <c r="C33" s="57" t="s">
        <v>2298</v>
      </c>
      <c r="D33" s="56" t="s">
        <v>295</v>
      </c>
      <c r="E33" s="56" t="s">
        <v>2240</v>
      </c>
      <c r="F33" s="56" t="s">
        <v>1579</v>
      </c>
      <c r="G33" s="56" t="s">
        <v>45</v>
      </c>
      <c r="H33" s="56">
        <v>20</v>
      </c>
      <c r="I33" s="56"/>
      <c r="J33" s="56">
        <v>0</v>
      </c>
      <c r="K33" s="56"/>
      <c r="L33" s="56"/>
      <c r="M33" s="56">
        <v>0</v>
      </c>
      <c r="N33" s="56">
        <v>0</v>
      </c>
      <c r="O33" s="56">
        <v>-1</v>
      </c>
      <c r="P33" s="56" t="s">
        <v>1729</v>
      </c>
      <c r="Q33" s="68">
        <f>IF(E33="OnGainRelic", 0, IF(OR(P33="Quest", P33="Monster", P33="Event", D33="Basic", D33="Upgrade"), -1, MIN(IFERROR(VLOOKUP(D33, Relic_Price_Config!$A$5:$E$9, 4, FALSE), 350), MAX(IFERROR(VLOOKUP(D33, Relic_Price_Config!$A$5:$E$9, 3, FALSE), 210), ROUND((IFERROR(VLOOKUP(F33, Relic_Price_Config!$G$5:$N$100, 4, FALSE), 280) + N(H33) * IFERROR(VLOOKUP(F33, Relic_Price_Config!$G$5:$N$100, 5, FALSE), 10) + ABS(N(M33)) * IFERROR(VLOOKUP(F33, Relic_Price_Config!$G$5:$N$100, 6, FALSE), 15) + IF(N(N33)&gt;1, (N(N33)-1)*10, 0)) * IFERROR(VLOOKUP(D33, Relic_Price_Config!$A$5:$E$9, 2, FALSE), 1), 0)))))</f>
        <v>-1</v>
      </c>
      <c r="R33" s="68">
        <f t="shared" si="0"/>
        <v>490</v>
      </c>
      <c r="S33" s="68">
        <f t="shared" si="1"/>
        <v>910</v>
      </c>
      <c r="T33" s="68">
        <f>IF(E33="OnGainRelic", 0, MIN(IFERROR(VLOOKUP(D33, Relic_Price_Config!$A$5:$E$9, 4, FALSE), 350), MAX(IFERROR(VLOOKUP(D33, Relic_Price_Config!$A$5:$E$9, 3, FALSE), 210), ROUND((IFERROR(VLOOKUP(F33, Relic_Price_Config!$G$5:$N$100, 4, FALSE), 280) + N(H33) * IFERROR(VLOOKUP(F33, Relic_Price_Config!$G$5:$N$100, 5, FALSE), 10) + ABS(N(M33)) * IFERROR(VLOOKUP(F33, Relic_Price_Config!$G$5:$N$100, 6, FALSE), 15) + IF(N(N33)&gt;1, (N(N33)-1)*10, 0)) * IFERROR(VLOOKUP(D33, Relic_Price_Config!$A$5:$E$9, 2, FALSE), 1), 0))))</f>
        <v>700</v>
      </c>
      <c r="U33" s="56" t="str">
        <f>IF(E33="OnGainRelic", "획득 시 즉발 (0원)", IFERROR(VLOOKUP(F33, Relic_Price_Config!$G$5:$N$100, 2, FALSE), "기타 효과"))</f>
        <v>방어 관련 [체력 회복]</v>
      </c>
    </row>
    <row r="34" spans="1:21" ht="41.4" customHeight="1">
      <c r="A34" s="56" t="s">
        <v>2299</v>
      </c>
      <c r="B34" s="57" t="s">
        <v>2300</v>
      </c>
      <c r="C34" s="57" t="s">
        <v>2301</v>
      </c>
      <c r="D34" s="56" t="s">
        <v>295</v>
      </c>
      <c r="E34" s="56" t="s">
        <v>2202</v>
      </c>
      <c r="F34" s="56" t="s">
        <v>613</v>
      </c>
      <c r="G34" s="56" t="s">
        <v>504</v>
      </c>
      <c r="H34" s="56">
        <v>0</v>
      </c>
      <c r="I34" s="56"/>
      <c r="J34" s="56">
        <v>0</v>
      </c>
      <c r="K34" s="56" t="s">
        <v>71</v>
      </c>
      <c r="L34" s="56"/>
      <c r="M34" s="56">
        <v>2</v>
      </c>
      <c r="N34" s="56">
        <v>-1</v>
      </c>
      <c r="O34" s="56">
        <v>-1</v>
      </c>
      <c r="P34" s="56" t="s">
        <v>1729</v>
      </c>
      <c r="Q34" s="68">
        <f>IF(E34="OnGainRelic", 0, IF(OR(P34="Quest", P34="Monster", P34="Event", D34="Basic", D34="Upgrade"), -1, MIN(IFERROR(VLOOKUP(D34, Relic_Price_Config!$A$5:$E$9, 4, FALSE), 350), MAX(IFERROR(VLOOKUP(D34, Relic_Price_Config!$A$5:$E$9, 3, FALSE), 210), ROUND((IFERROR(VLOOKUP(F34, Relic_Price_Config!$G$5:$N$100, 4, FALSE), 280) + N(H34) * IFERROR(VLOOKUP(F34, Relic_Price_Config!$G$5:$N$100, 5, FALSE), 10) + ABS(N(M34)) * IFERROR(VLOOKUP(F34, Relic_Price_Config!$G$5:$N$100, 6, FALSE), 15) + IF(N(N34)&gt;1, (N(N34)-1)*10, 0)) * IFERROR(VLOOKUP(D34, Relic_Price_Config!$A$5:$E$9, 2, FALSE), 1), 0)))))</f>
        <v>-1</v>
      </c>
      <c r="R34" s="68">
        <f t="shared" si="0"/>
        <v>475</v>
      </c>
      <c r="S34" s="68">
        <f t="shared" si="1"/>
        <v>885</v>
      </c>
      <c r="T34" s="68">
        <f>IF(E34="OnGainRelic", 0, MIN(IFERROR(VLOOKUP(D34, Relic_Price_Config!$A$5:$E$9, 4, FALSE), 350), MAX(IFERROR(VLOOKUP(D34, Relic_Price_Config!$A$5:$E$9, 3, FALSE), 210), ROUND((IFERROR(VLOOKUP(F34, Relic_Price_Config!$G$5:$N$100, 4, FALSE), 280) + N(H34) * IFERROR(VLOOKUP(F34, Relic_Price_Config!$G$5:$N$100, 5, FALSE), 10) + ABS(N(M34)) * IFERROR(VLOOKUP(F34, Relic_Price_Config!$G$5:$N$100, 6, FALSE), 15) + IF(N(N34)&gt;1, (N(N34)-1)*10, 0)) * IFERROR(VLOOKUP(D34, Relic_Price_Config!$A$5:$E$9, 2, FALSE), 1), 0))))</f>
        <v>680</v>
      </c>
      <c r="U34" s="56" t="str">
        <f>IF(E34="OnGainRelic", "획득 시 즉발 (0원)", IFERROR(VLOOKUP(F34, Relic_Price_Config!$G$5:$N$100, 2, FALSE), "기타 효과"))</f>
        <v>공격 증가 [광역 공격 상승]</v>
      </c>
    </row>
    <row r="35" spans="1:21" ht="41.4" customHeight="1">
      <c r="A35" s="56" t="s">
        <v>2302</v>
      </c>
      <c r="B35" s="57" t="s">
        <v>2303</v>
      </c>
      <c r="C35" s="62" t="s">
        <v>2272</v>
      </c>
      <c r="D35" s="56" t="s">
        <v>295</v>
      </c>
      <c r="E35" s="56" t="s">
        <v>2125</v>
      </c>
      <c r="F35" s="56" t="s">
        <v>146</v>
      </c>
      <c r="G35" s="56" t="s">
        <v>45</v>
      </c>
      <c r="H35" s="56">
        <v>1</v>
      </c>
      <c r="I35" s="56"/>
      <c r="J35" s="56">
        <v>0</v>
      </c>
      <c r="K35" s="56"/>
      <c r="L35" s="56"/>
      <c r="M35" s="56">
        <v>0</v>
      </c>
      <c r="N35" s="56">
        <v>0</v>
      </c>
      <c r="O35" s="56">
        <v>-1</v>
      </c>
      <c r="P35" s="56" t="s">
        <v>1729</v>
      </c>
      <c r="Q35" s="68">
        <f>IF(E35="OnGainRelic", 0, IF(OR(P35="Quest", P35="Monster", P35="Event", D35="Basic", D35="Upgrade"), -1, MIN(IFERROR(VLOOKUP(D35, Relic_Price_Config!$A$5:$E$9, 4, FALSE), 350), MAX(IFERROR(VLOOKUP(D35, Relic_Price_Config!$A$5:$E$9, 3, FALSE), 210), ROUND((IFERROR(VLOOKUP(F35, Relic_Price_Config!$G$5:$N$100, 4, FALSE), 280) + N(H35) * IFERROR(VLOOKUP(F35, Relic_Price_Config!$G$5:$N$100, 5, FALSE), 10) + ABS(N(M35)) * IFERROR(VLOOKUP(F35, Relic_Price_Config!$G$5:$N$100, 6, FALSE), 15) + IF(N(N35)&gt;1, (N(N35)-1)*10, 0)) * IFERROR(VLOOKUP(D35, Relic_Price_Config!$A$5:$E$9, 2, FALSE), 1), 0)))))</f>
        <v>-1</v>
      </c>
      <c r="R35" s="68">
        <f t="shared" si="0"/>
        <v>460</v>
      </c>
      <c r="S35" s="68">
        <f t="shared" si="1"/>
        <v>860</v>
      </c>
      <c r="T35" s="68">
        <f>IF(E35="OnGainRelic", 0, MIN(IFERROR(VLOOKUP(D35, Relic_Price_Config!$A$5:$E$9, 4, FALSE), 350), MAX(IFERROR(VLOOKUP(D35, Relic_Price_Config!$A$5:$E$9, 3, FALSE), 210), ROUND((IFERROR(VLOOKUP(F35, Relic_Price_Config!$G$5:$N$100, 4, FALSE), 280) + N(H35) * IFERROR(VLOOKUP(F35, Relic_Price_Config!$G$5:$N$100, 5, FALSE), 10) + ABS(N(M35)) * IFERROR(VLOOKUP(F35, Relic_Price_Config!$G$5:$N$100, 6, FALSE), 15) + IF(N(N35)&gt;1, (N(N35)-1)*10, 0)) * IFERROR(VLOOKUP(D35, Relic_Price_Config!$A$5:$E$9, 2, FALSE), 1), 0))))</f>
        <v>660</v>
      </c>
      <c r="U35" s="56" t="str">
        <f>IF(E35="OnGainRelic", "획득 시 즉발 (0원)", IFERROR(VLOOKUP(F35, Relic_Price_Config!$G$5:$N$100, 2, FALSE), "기타 효과"))</f>
        <v>에너지 관련 (행동력 추가)</v>
      </c>
    </row>
    <row r="36" spans="1:21" ht="27.6" customHeight="1">
      <c r="A36" s="56" t="s">
        <v>2304</v>
      </c>
      <c r="B36" s="57" t="s">
        <v>2305</v>
      </c>
      <c r="C36" s="57" t="s">
        <v>2306</v>
      </c>
      <c r="D36" s="56" t="s">
        <v>295</v>
      </c>
      <c r="E36" s="56" t="s">
        <v>2202</v>
      </c>
      <c r="F36" s="56" t="s">
        <v>1327</v>
      </c>
      <c r="G36" s="56" t="s">
        <v>45</v>
      </c>
      <c r="H36" s="56">
        <v>0</v>
      </c>
      <c r="I36" s="56"/>
      <c r="J36" s="56">
        <v>0</v>
      </c>
      <c r="K36" s="56" t="s">
        <v>316</v>
      </c>
      <c r="L36" s="56"/>
      <c r="M36" s="56">
        <v>2</v>
      </c>
      <c r="N36" s="56">
        <v>-1</v>
      </c>
      <c r="O36" s="56">
        <v>-1</v>
      </c>
      <c r="P36" s="56" t="s">
        <v>1729</v>
      </c>
      <c r="Q36" s="68">
        <f>IF(E36="OnGainRelic", 0, IF(OR(P36="Quest", P36="Monster", P36="Event", D36="Basic", D36="Upgrade"), -1, MIN(IFERROR(VLOOKUP(D36, Relic_Price_Config!$A$5:$E$9, 4, FALSE), 350), MAX(IFERROR(VLOOKUP(D36, Relic_Price_Config!$A$5:$E$9, 3, FALSE), 210), ROUND((IFERROR(VLOOKUP(F36, Relic_Price_Config!$G$5:$N$100, 4, FALSE), 280) + N(H36) * IFERROR(VLOOKUP(F36, Relic_Price_Config!$G$5:$N$100, 5, FALSE), 10) + ABS(N(M36)) * IFERROR(VLOOKUP(F36, Relic_Price_Config!$G$5:$N$100, 6, FALSE), 15) + IF(N(N36)&gt;1, (N(N36)-1)*10, 0)) * IFERROR(VLOOKUP(D36, Relic_Price_Config!$A$5:$E$9, 2, FALSE), 1), 0)))))</f>
        <v>-1</v>
      </c>
      <c r="R36" s="68">
        <f t="shared" ref="R36:R67" si="2">IF(OR(E36="OnGainRelic", O36&gt;0), 0, ROUND((IF(Q36&gt;0, Q36, T36)*0.7)/5, 0)*5)</f>
        <v>460</v>
      </c>
      <c r="S36" s="68">
        <f t="shared" ref="S36:S67" si="3">IF(OR(E36="OnGainRelic", O36&gt;0), 0, ROUND((IF(Q36&gt;0, Q36, T36)*1.3)/5, 0)*5)</f>
        <v>860</v>
      </c>
      <c r="T36" s="68">
        <f>IF(E36="OnGainRelic", 0, MIN(IFERROR(VLOOKUP(D36, Relic_Price_Config!$A$5:$E$9, 4, FALSE), 350), MAX(IFERROR(VLOOKUP(D36, Relic_Price_Config!$A$5:$E$9, 3, FALSE), 210), ROUND((IFERROR(VLOOKUP(F36, Relic_Price_Config!$G$5:$N$100, 4, FALSE), 280) + N(H36) * IFERROR(VLOOKUP(F36, Relic_Price_Config!$G$5:$N$100, 5, FALSE), 10) + ABS(N(M36)) * IFERROR(VLOOKUP(F36, Relic_Price_Config!$G$5:$N$100, 6, FALSE), 15) + IF(N(N36)&gt;1, (N(N36)-1)*10, 0)) * IFERROR(VLOOKUP(D36, Relic_Price_Config!$A$5:$E$9, 2, FALSE), 1), 0))))</f>
        <v>660</v>
      </c>
      <c r="U36" s="56" t="str">
        <f>IF(E36="OnGainRelic", "획득 시 즉발 (0원)", IFERROR(VLOOKUP(F36, Relic_Price_Config!$G$5:$N$100, 2, FALSE), "기타 효과"))</f>
        <v>방어 증가 [받는 피해 감소]</v>
      </c>
    </row>
    <row r="37" spans="1:21" ht="17.25" customHeight="1">
      <c r="A37" s="56" t="s">
        <v>2307</v>
      </c>
      <c r="B37" s="57" t="s">
        <v>2308</v>
      </c>
      <c r="C37" s="57" t="s">
        <v>2309</v>
      </c>
      <c r="D37" s="56" t="s">
        <v>208</v>
      </c>
      <c r="E37" s="56" t="s">
        <v>2310</v>
      </c>
      <c r="F37" s="56" t="s">
        <v>652</v>
      </c>
      <c r="G37" s="56" t="s">
        <v>108</v>
      </c>
      <c r="H37" s="56">
        <v>5</v>
      </c>
      <c r="I37" s="56"/>
      <c r="J37" s="56">
        <v>0</v>
      </c>
      <c r="K37" s="56"/>
      <c r="L37" s="56"/>
      <c r="M37" s="56">
        <v>0</v>
      </c>
      <c r="N37" s="56">
        <v>0</v>
      </c>
      <c r="O37" s="56">
        <v>-1</v>
      </c>
      <c r="P37" s="56" t="s">
        <v>1729</v>
      </c>
      <c r="Q37" s="68">
        <f>IF(E37="OnGainRelic", 0, IF(OR(P37="Quest", P37="Monster", P37="Event", D37="Basic", D37="Upgrade"), -1, MIN(IFERROR(VLOOKUP(D37, Relic_Price_Config!$A$5:$E$9, 4, FALSE), 350), MAX(IFERROR(VLOOKUP(D37, Relic_Price_Config!$A$5:$E$9, 3, FALSE), 210), ROUND((IFERROR(VLOOKUP(F37, Relic_Price_Config!$G$5:$N$100, 4, FALSE), 280) + N(H37) * IFERROR(VLOOKUP(F37, Relic_Price_Config!$G$5:$N$100, 5, FALSE), 10) + ABS(N(M37)) * IFERROR(VLOOKUP(F37, Relic_Price_Config!$G$5:$N$100, 6, FALSE), 15) + IF(N(N37)&gt;1, (N(N37)-1)*10, 0)) * IFERROR(VLOOKUP(D37, Relic_Price_Config!$A$5:$E$9, 2, FALSE), 1), 0)))))</f>
        <v>-1</v>
      </c>
      <c r="R37" s="68">
        <f t="shared" si="2"/>
        <v>325</v>
      </c>
      <c r="S37" s="68">
        <f t="shared" si="3"/>
        <v>605</v>
      </c>
      <c r="T37" s="68">
        <f>IF(E37="OnGainRelic", 0, MIN(IFERROR(VLOOKUP(D37, Relic_Price_Config!$A$5:$E$9, 4, FALSE), 350), MAX(IFERROR(VLOOKUP(D37, Relic_Price_Config!$A$5:$E$9, 3, FALSE), 210), ROUND((IFERROR(VLOOKUP(F37, Relic_Price_Config!$G$5:$N$100, 4, FALSE), 280) + N(H37) * IFERROR(VLOOKUP(F37, Relic_Price_Config!$G$5:$N$100, 5, FALSE), 10) + ABS(N(M37)) * IFERROR(VLOOKUP(F37, Relic_Price_Config!$G$5:$N$100, 6, FALSE), 15) + IF(N(N37)&gt;1, (N(N37)-1)*10, 0)) * IFERROR(VLOOKUP(D37, Relic_Price_Config!$A$5:$E$9, 2, FALSE), 1), 0))))</f>
        <v>465</v>
      </c>
      <c r="U37" s="56" t="str">
        <f>IF(E37="OnGainRelic", "획득 시 즉발 (0원)", IFERROR(VLOOKUP(F37, Relic_Price_Config!$G$5:$N$100, 2, FALSE), "기타 효과"))</f>
        <v>광역 피해 [전체 데미지]</v>
      </c>
    </row>
    <row r="38" spans="1:21" ht="17.25" customHeight="1">
      <c r="A38" s="56" t="s">
        <v>2311</v>
      </c>
      <c r="B38" s="57" t="s">
        <v>2312</v>
      </c>
      <c r="C38" s="57" t="s">
        <v>2313</v>
      </c>
      <c r="D38" s="56" t="s">
        <v>208</v>
      </c>
      <c r="E38" s="56" t="s">
        <v>2202</v>
      </c>
      <c r="F38" s="56" t="s">
        <v>672</v>
      </c>
      <c r="G38" s="56" t="s">
        <v>504</v>
      </c>
      <c r="H38" s="56">
        <v>0</v>
      </c>
      <c r="I38" s="56"/>
      <c r="J38" s="56">
        <v>0</v>
      </c>
      <c r="K38" s="56" t="s">
        <v>229</v>
      </c>
      <c r="L38" s="56"/>
      <c r="M38" s="56">
        <v>2</v>
      </c>
      <c r="N38" s="56">
        <v>-1</v>
      </c>
      <c r="O38" s="56">
        <v>-1</v>
      </c>
      <c r="P38" s="56" t="s">
        <v>1729</v>
      </c>
      <c r="Q38" s="68">
        <f>IF(E38="OnGainRelic", 0, IF(OR(P38="Quest", P38="Monster", P38="Event", D38="Basic", D38="Upgrade"), -1, MIN(IFERROR(VLOOKUP(D38, Relic_Price_Config!$A$5:$E$9, 4, FALSE), 350), MAX(IFERROR(VLOOKUP(D38, Relic_Price_Config!$A$5:$E$9, 3, FALSE), 210), ROUND((IFERROR(VLOOKUP(F38, Relic_Price_Config!$G$5:$N$100, 4, FALSE), 280) + N(H38) * IFERROR(VLOOKUP(F38, Relic_Price_Config!$G$5:$N$100, 5, FALSE), 10) + ABS(N(M38)) * IFERROR(VLOOKUP(F38, Relic_Price_Config!$G$5:$N$100, 6, FALSE), 15) + IF(N(N38)&gt;1, (N(N38)-1)*10, 0)) * IFERROR(VLOOKUP(D38, Relic_Price_Config!$A$5:$E$9, 2, FALSE), 1), 0)))))</f>
        <v>-1</v>
      </c>
      <c r="R38" s="68">
        <f t="shared" si="2"/>
        <v>355</v>
      </c>
      <c r="S38" s="68">
        <f t="shared" si="3"/>
        <v>665</v>
      </c>
      <c r="T38" s="68">
        <f>IF(E38="OnGainRelic", 0, MIN(IFERROR(VLOOKUP(D38, Relic_Price_Config!$A$5:$E$9, 4, FALSE), 350), MAX(IFERROR(VLOOKUP(D38, Relic_Price_Config!$A$5:$E$9, 3, FALSE), 210), ROUND((IFERROR(VLOOKUP(F38, Relic_Price_Config!$G$5:$N$100, 4, FALSE), 280) + N(H38) * IFERROR(VLOOKUP(F38, Relic_Price_Config!$G$5:$N$100, 5, FALSE), 10) + ABS(N(M38)) * IFERROR(VLOOKUP(F38, Relic_Price_Config!$G$5:$N$100, 6, FALSE), 15) + IF(N(N38)&gt;1, (N(N38)-1)*10, 0)) * IFERROR(VLOOKUP(D38, Relic_Price_Config!$A$5:$E$9, 2, FALSE), 1), 0))))</f>
        <v>510</v>
      </c>
      <c r="U38" s="56" t="str">
        <f>IF(E38="OnGainRelic", "획득 시 즉발 (0원)", IFERROR(VLOOKUP(F38, Relic_Price_Config!$G$5:$N$100, 2, FALSE), "기타 효과"))</f>
        <v>방어 증가 [광역 방어 상승]</v>
      </c>
    </row>
    <row r="39" spans="1:21" ht="17.25" customHeight="1">
      <c r="A39" s="56" t="s">
        <v>2314</v>
      </c>
      <c r="B39" s="57" t="s">
        <v>2315</v>
      </c>
      <c r="C39" s="57" t="s">
        <v>2301</v>
      </c>
      <c r="D39" s="56" t="s">
        <v>208</v>
      </c>
      <c r="E39" s="56" t="s">
        <v>2202</v>
      </c>
      <c r="F39" s="56" t="s">
        <v>613</v>
      </c>
      <c r="G39" s="56" t="s">
        <v>504</v>
      </c>
      <c r="H39" s="56">
        <v>0</v>
      </c>
      <c r="I39" s="56"/>
      <c r="J39" s="56">
        <v>0</v>
      </c>
      <c r="K39" s="56" t="s">
        <v>71</v>
      </c>
      <c r="L39" s="56"/>
      <c r="M39" s="56">
        <v>2</v>
      </c>
      <c r="N39" s="56">
        <v>-1</v>
      </c>
      <c r="O39" s="56">
        <v>-1</v>
      </c>
      <c r="P39" s="56" t="s">
        <v>1729</v>
      </c>
      <c r="Q39" s="68">
        <f>IF(E39="OnGainRelic", 0, IF(OR(P39="Quest", P39="Monster", P39="Event", D39="Basic", D39="Upgrade"), -1, MIN(IFERROR(VLOOKUP(D39, Relic_Price_Config!$A$5:$E$9, 4, FALSE), 350), MAX(IFERROR(VLOOKUP(D39, Relic_Price_Config!$A$5:$E$9, 3, FALSE), 210), ROUND((IFERROR(VLOOKUP(F39, Relic_Price_Config!$G$5:$N$100, 4, FALSE), 280) + N(H39) * IFERROR(VLOOKUP(F39, Relic_Price_Config!$G$5:$N$100, 5, FALSE), 10) + ABS(N(M39)) * IFERROR(VLOOKUP(F39, Relic_Price_Config!$G$5:$N$100, 6, FALSE), 15) + IF(N(N39)&gt;1, (N(N39)-1)*10, 0)) * IFERROR(VLOOKUP(D39, Relic_Price_Config!$A$5:$E$9, 2, FALSE), 1), 0)))))</f>
        <v>-1</v>
      </c>
      <c r="R39" s="68">
        <f t="shared" si="2"/>
        <v>355</v>
      </c>
      <c r="S39" s="68">
        <f t="shared" si="3"/>
        <v>665</v>
      </c>
      <c r="T39" s="68">
        <f>IF(E39="OnGainRelic", 0, MIN(IFERROR(VLOOKUP(D39, Relic_Price_Config!$A$5:$E$9, 4, FALSE), 350), MAX(IFERROR(VLOOKUP(D39, Relic_Price_Config!$A$5:$E$9, 3, FALSE), 210), ROUND((IFERROR(VLOOKUP(F39, Relic_Price_Config!$G$5:$N$100, 4, FALSE), 280) + N(H39) * IFERROR(VLOOKUP(F39, Relic_Price_Config!$G$5:$N$100, 5, FALSE), 10) + ABS(N(M39)) * IFERROR(VLOOKUP(F39, Relic_Price_Config!$G$5:$N$100, 6, FALSE), 15) + IF(N(N39)&gt;1, (N(N39)-1)*10, 0)) * IFERROR(VLOOKUP(D39, Relic_Price_Config!$A$5:$E$9, 2, FALSE), 1), 0))))</f>
        <v>510</v>
      </c>
      <c r="U39" s="56" t="str">
        <f>IF(E39="OnGainRelic", "획득 시 즉발 (0원)", IFERROR(VLOOKUP(F39, Relic_Price_Config!$G$5:$N$100, 2, FALSE), "기타 효과"))</f>
        <v>공격 증가 [광역 공격 상승]</v>
      </c>
    </row>
    <row r="40" spans="1:21" ht="27.6" customHeight="1">
      <c r="A40" s="56" t="s">
        <v>2316</v>
      </c>
      <c r="B40" s="57" t="s">
        <v>2317</v>
      </c>
      <c r="C40" s="57" t="s">
        <v>2318</v>
      </c>
      <c r="D40" s="56" t="s">
        <v>208</v>
      </c>
      <c r="E40" s="56" t="s">
        <v>2256</v>
      </c>
      <c r="F40" s="56" t="s">
        <v>418</v>
      </c>
      <c r="G40" s="56" t="s">
        <v>108</v>
      </c>
      <c r="H40" s="56">
        <v>0</v>
      </c>
      <c r="I40" s="56"/>
      <c r="J40" s="56">
        <v>0</v>
      </c>
      <c r="K40" s="56" t="s">
        <v>94</v>
      </c>
      <c r="L40" s="56"/>
      <c r="M40" s="56">
        <v>1</v>
      </c>
      <c r="N40" s="56">
        <v>2</v>
      </c>
      <c r="O40" s="56">
        <v>-1</v>
      </c>
      <c r="P40" s="56" t="s">
        <v>1729</v>
      </c>
      <c r="Q40" s="68">
        <f>IF(E40="OnGainRelic", 0, IF(OR(P40="Quest", P40="Monster", P40="Event", D40="Basic", D40="Upgrade"), -1, MIN(IFERROR(VLOOKUP(D40, Relic_Price_Config!$A$5:$E$9, 4, FALSE), 350), MAX(IFERROR(VLOOKUP(D40, Relic_Price_Config!$A$5:$E$9, 3, FALSE), 210), ROUND((IFERROR(VLOOKUP(F40, Relic_Price_Config!$G$5:$N$100, 4, FALSE), 280) + N(H40) * IFERROR(VLOOKUP(F40, Relic_Price_Config!$G$5:$N$100, 5, FALSE), 10) + ABS(N(M40)) * IFERROR(VLOOKUP(F40, Relic_Price_Config!$G$5:$N$100, 6, FALSE), 15) + IF(N(N40)&gt;1, (N(N40)-1)*10, 0)) * IFERROR(VLOOKUP(D40, Relic_Price_Config!$A$5:$E$9, 2, FALSE), 1), 0)))))</f>
        <v>-1</v>
      </c>
      <c r="R40" s="68">
        <f t="shared" si="2"/>
        <v>335</v>
      </c>
      <c r="S40" s="68">
        <f t="shared" si="3"/>
        <v>625</v>
      </c>
      <c r="T40" s="68">
        <f>IF(E40="OnGainRelic", 0, MIN(IFERROR(VLOOKUP(D40, Relic_Price_Config!$A$5:$E$9, 4, FALSE), 350), MAX(IFERROR(VLOOKUP(D40, Relic_Price_Config!$A$5:$E$9, 3, FALSE), 210), ROUND((IFERROR(VLOOKUP(F40, Relic_Price_Config!$G$5:$N$100, 4, FALSE), 280) + N(H40) * IFERROR(VLOOKUP(F40, Relic_Price_Config!$G$5:$N$100, 5, FALSE), 10) + ABS(N(M40)) * IFERROR(VLOOKUP(F40, Relic_Price_Config!$G$5:$N$100, 6, FALSE), 15) + IF(N(N40)&gt;1, (N(N40)-1)*10, 0)) * IFERROR(VLOOKUP(D40, Relic_Price_Config!$A$5:$E$9, 2, FALSE), 1), 0))))</f>
        <v>480</v>
      </c>
      <c r="U40" s="56" t="str">
        <f>IF(E40="OnGainRelic", "획득 시 즉발 (0원)", IFERROR(VLOOKUP(F40, Relic_Price_Config!$G$5:$N$100, 2, FALSE), "기타 효과"))</f>
        <v>공격 증가 [적 받는 피해 증가]</v>
      </c>
    </row>
    <row r="41" spans="1:21" ht="17.25" customHeight="1">
      <c r="A41" s="56" t="s">
        <v>2319</v>
      </c>
      <c r="B41" s="57" t="s">
        <v>2320</v>
      </c>
      <c r="C41" s="57" t="s">
        <v>2321</v>
      </c>
      <c r="D41" s="56" t="s">
        <v>208</v>
      </c>
      <c r="E41" s="56" t="s">
        <v>2202</v>
      </c>
      <c r="F41" s="56" t="s">
        <v>100</v>
      </c>
      <c r="G41" s="56" t="s">
        <v>45</v>
      </c>
      <c r="H41" s="56">
        <v>0</v>
      </c>
      <c r="I41" s="56"/>
      <c r="J41" s="56">
        <v>0</v>
      </c>
      <c r="K41" s="56" t="s">
        <v>101</v>
      </c>
      <c r="L41" s="56"/>
      <c r="M41" s="56">
        <v>2</v>
      </c>
      <c r="N41" s="56">
        <v>-1</v>
      </c>
      <c r="O41" s="56">
        <v>-1</v>
      </c>
      <c r="P41" s="56" t="s">
        <v>1729</v>
      </c>
      <c r="Q41" s="68">
        <f>IF(E41="OnGainRelic", 0, IF(OR(P41="Quest", P41="Monster", P41="Event", D41="Basic", D41="Upgrade"), -1, MIN(IFERROR(VLOOKUP(D41, Relic_Price_Config!$A$5:$E$9, 4, FALSE), 350), MAX(IFERROR(VLOOKUP(D41, Relic_Price_Config!$A$5:$E$9, 3, FALSE), 210), ROUND((IFERROR(VLOOKUP(F41, Relic_Price_Config!$G$5:$N$100, 4, FALSE), 280) + N(H41) * IFERROR(VLOOKUP(F41, Relic_Price_Config!$G$5:$N$100, 5, FALSE), 10) + ABS(N(M41)) * IFERROR(VLOOKUP(F41, Relic_Price_Config!$G$5:$N$100, 6, FALSE), 15) + IF(N(N41)&gt;1, (N(N41)-1)*10, 0)) * IFERROR(VLOOKUP(D41, Relic_Price_Config!$A$5:$E$9, 2, FALSE), 1), 0)))))</f>
        <v>-1</v>
      </c>
      <c r="R41" s="68">
        <f t="shared" si="2"/>
        <v>345</v>
      </c>
      <c r="S41" s="68">
        <f t="shared" si="3"/>
        <v>645</v>
      </c>
      <c r="T41" s="68">
        <f>IF(E41="OnGainRelic", 0, MIN(IFERROR(VLOOKUP(D41, Relic_Price_Config!$A$5:$E$9, 4, FALSE), 350), MAX(IFERROR(VLOOKUP(D41, Relic_Price_Config!$A$5:$E$9, 3, FALSE), 210), ROUND((IFERROR(VLOOKUP(F41, Relic_Price_Config!$G$5:$N$100, 4, FALSE), 280) + N(H41) * IFERROR(VLOOKUP(F41, Relic_Price_Config!$G$5:$N$100, 5, FALSE), 10) + ABS(N(M41)) * IFERROR(VLOOKUP(F41, Relic_Price_Config!$G$5:$N$100, 6, FALSE), 15) + IF(N(N41)&gt;1, (N(N41)-1)*10, 0)) * IFERROR(VLOOKUP(D41, Relic_Price_Config!$A$5:$E$9, 2, FALSE), 1), 0))))</f>
        <v>495</v>
      </c>
      <c r="U41" s="56" t="str">
        <f>IF(E41="OnGainRelic", "획득 시 즉발 (0원)", IFERROR(VLOOKUP(F41, Relic_Price_Config!$G$5:$N$100, 2, FALSE), "기타 효과"))</f>
        <v>방어 관련 [회피율 증가]</v>
      </c>
    </row>
    <row r="42" spans="1:21" ht="27.6" customHeight="1">
      <c r="A42" s="56" t="s">
        <v>2322</v>
      </c>
      <c r="B42" s="57" t="s">
        <v>2323</v>
      </c>
      <c r="C42" s="57" t="s">
        <v>2324</v>
      </c>
      <c r="D42" s="56" t="s">
        <v>208</v>
      </c>
      <c r="E42" s="56" t="s">
        <v>2202</v>
      </c>
      <c r="F42" s="56" t="s">
        <v>1327</v>
      </c>
      <c r="G42" s="56" t="s">
        <v>45</v>
      </c>
      <c r="H42" s="56">
        <v>0</v>
      </c>
      <c r="I42" s="56"/>
      <c r="J42" s="56">
        <v>0</v>
      </c>
      <c r="K42" s="56" t="s">
        <v>316</v>
      </c>
      <c r="L42" s="56"/>
      <c r="M42" s="56">
        <v>2</v>
      </c>
      <c r="N42" s="56">
        <v>2</v>
      </c>
      <c r="O42" s="56">
        <v>-1</v>
      </c>
      <c r="P42" s="56" t="s">
        <v>1729</v>
      </c>
      <c r="Q42" s="68">
        <f>IF(E42="OnGainRelic", 0, IF(OR(P42="Quest", P42="Monster", P42="Event", D42="Basic", D42="Upgrade"), -1, MIN(IFERROR(VLOOKUP(D42, Relic_Price_Config!$A$5:$E$9, 4, FALSE), 350), MAX(IFERROR(VLOOKUP(D42, Relic_Price_Config!$A$5:$E$9, 3, FALSE), 210), ROUND((IFERROR(VLOOKUP(F42, Relic_Price_Config!$G$5:$N$100, 4, FALSE), 280) + N(H42) * IFERROR(VLOOKUP(F42, Relic_Price_Config!$G$5:$N$100, 5, FALSE), 10) + ABS(N(M42)) * IFERROR(VLOOKUP(F42, Relic_Price_Config!$G$5:$N$100, 6, FALSE), 15) + IF(N(N42)&gt;1, (N(N42)-1)*10, 0)) * IFERROR(VLOOKUP(D42, Relic_Price_Config!$A$5:$E$9, 2, FALSE), 1), 0)))))</f>
        <v>-1</v>
      </c>
      <c r="R42" s="68">
        <f t="shared" si="2"/>
        <v>355</v>
      </c>
      <c r="S42" s="68">
        <f t="shared" si="3"/>
        <v>665</v>
      </c>
      <c r="T42" s="68">
        <f>IF(E42="OnGainRelic", 0, MIN(IFERROR(VLOOKUP(D42, Relic_Price_Config!$A$5:$E$9, 4, FALSE), 350), MAX(IFERROR(VLOOKUP(D42, Relic_Price_Config!$A$5:$E$9, 3, FALSE), 210), ROUND((IFERROR(VLOOKUP(F42, Relic_Price_Config!$G$5:$N$100, 4, FALSE), 280) + N(H42) * IFERROR(VLOOKUP(F42, Relic_Price_Config!$G$5:$N$100, 5, FALSE), 10) + ABS(N(M42)) * IFERROR(VLOOKUP(F42, Relic_Price_Config!$G$5:$N$100, 6, FALSE), 15) + IF(N(N42)&gt;1, (N(N42)-1)*10, 0)) * IFERROR(VLOOKUP(D42, Relic_Price_Config!$A$5:$E$9, 2, FALSE), 1), 0))))</f>
        <v>510</v>
      </c>
      <c r="U42" s="56" t="str">
        <f>IF(E42="OnGainRelic", "획득 시 즉발 (0원)", IFERROR(VLOOKUP(F42, Relic_Price_Config!$G$5:$N$100, 2, FALSE), "기타 효과"))</f>
        <v>방어 증가 [받는 피해 감소]</v>
      </c>
    </row>
    <row r="43" spans="1:21" ht="27.6" customHeight="1">
      <c r="A43" s="56" t="s">
        <v>2325</v>
      </c>
      <c r="B43" s="62" t="s">
        <v>2326</v>
      </c>
      <c r="C43" s="62" t="s">
        <v>2327</v>
      </c>
      <c r="D43" s="56" t="s">
        <v>208</v>
      </c>
      <c r="E43" s="56" t="s">
        <v>2212</v>
      </c>
      <c r="F43" s="90" t="s">
        <v>77</v>
      </c>
      <c r="G43" s="56" t="s">
        <v>36</v>
      </c>
      <c r="H43" s="56">
        <v>2</v>
      </c>
      <c r="I43" s="56"/>
      <c r="J43" s="56">
        <v>0</v>
      </c>
      <c r="K43" s="56"/>
      <c r="L43" s="56"/>
      <c r="M43" s="56">
        <v>0</v>
      </c>
      <c r="N43" s="56">
        <v>0</v>
      </c>
      <c r="O43" s="56">
        <v>-1</v>
      </c>
      <c r="P43" s="56" t="s">
        <v>1729</v>
      </c>
      <c r="Q43" s="68">
        <f>IF(E43="OnGainRelic", 0, IF(OR(P43="Quest", P43="Monster", P43="Event", D43="Basic", D43="Upgrade"), -1, MIN(IFERROR(VLOOKUP(D43, Relic_Price_Config!$A$5:$E$9, 4, FALSE), 350), MAX(IFERROR(VLOOKUP(D43, Relic_Price_Config!$A$5:$E$9, 3, FALSE), 210), ROUND((IFERROR(VLOOKUP(F43, Relic_Price_Config!$G$5:$N$100, 4, FALSE), 280) + N(H43) * IFERROR(VLOOKUP(F43, Relic_Price_Config!$G$5:$N$100, 5, FALSE), 10) + ABS(N(M43)) * IFERROR(VLOOKUP(F43, Relic_Price_Config!$G$5:$N$100, 6, FALSE), 15) + IF(N(N43)&gt;1, (N(N43)-1)*10, 0)) * IFERROR(VLOOKUP(D43, Relic_Price_Config!$A$5:$E$9, 2, FALSE), 1), 0)))))</f>
        <v>-1</v>
      </c>
      <c r="R43" s="68">
        <f t="shared" si="2"/>
        <v>280</v>
      </c>
      <c r="S43" s="68">
        <f t="shared" si="3"/>
        <v>520</v>
      </c>
      <c r="T43" s="68">
        <f>IF(E43="OnGainRelic", 0, MIN(IFERROR(VLOOKUP(D43, Relic_Price_Config!$A$5:$E$9, 4, FALSE), 350), MAX(IFERROR(VLOOKUP(D43, Relic_Price_Config!$A$5:$E$9, 3, FALSE), 210), ROUND((IFERROR(VLOOKUP(F43, Relic_Price_Config!$G$5:$N$100, 4, FALSE), 280) + N(H43) * IFERROR(VLOOKUP(F43, Relic_Price_Config!$G$5:$N$100, 5, FALSE), 10) + ABS(N(M43)) * IFERROR(VLOOKUP(F43, Relic_Price_Config!$G$5:$N$100, 6, FALSE), 15) + IF(N(N43)&gt;1, (N(N43)-1)*10, 0)) * IFERROR(VLOOKUP(D43, Relic_Price_Config!$A$5:$E$9, 2, FALSE), 1), 0))))</f>
        <v>399</v>
      </c>
      <c r="U43" s="56" t="str">
        <f>IF(E43="OnGainRelic", "획득 시 즉발 (0원)", IFERROR(VLOOKUP(F43, Relic_Price_Config!$G$5:$N$100, 2, FALSE), "기타 효과"))</f>
        <v>단일 공격 [기본 피해]</v>
      </c>
    </row>
    <row r="44" spans="1:21" ht="17.25" customHeight="1">
      <c r="A44" s="56" t="s">
        <v>2328</v>
      </c>
      <c r="B44" s="57" t="s">
        <v>2329</v>
      </c>
      <c r="C44" s="57" t="s">
        <v>2330</v>
      </c>
      <c r="D44" s="56" t="s">
        <v>208</v>
      </c>
      <c r="E44" s="56" t="s">
        <v>2331</v>
      </c>
      <c r="F44" s="56" t="s">
        <v>1579</v>
      </c>
      <c r="G44" s="56" t="s">
        <v>45</v>
      </c>
      <c r="H44" s="56">
        <v>3</v>
      </c>
      <c r="I44" s="56"/>
      <c r="J44" s="56">
        <v>0</v>
      </c>
      <c r="K44" s="56"/>
      <c r="L44" s="56"/>
      <c r="M44" s="56">
        <v>0</v>
      </c>
      <c r="N44" s="56">
        <v>0</v>
      </c>
      <c r="O44" s="56">
        <v>-1</v>
      </c>
      <c r="P44" s="56" t="s">
        <v>1729</v>
      </c>
      <c r="Q44" s="68">
        <f>IF(E44="OnGainRelic", 0, IF(OR(P44="Quest", P44="Monster", P44="Event", D44="Basic", D44="Upgrade"), -1, MIN(IFERROR(VLOOKUP(D44, Relic_Price_Config!$A$5:$E$9, 4, FALSE), 350), MAX(IFERROR(VLOOKUP(D44, Relic_Price_Config!$A$5:$E$9, 3, FALSE), 210), ROUND((IFERROR(VLOOKUP(F44, Relic_Price_Config!$G$5:$N$100, 4, FALSE), 280) + N(H44) * IFERROR(VLOOKUP(F44, Relic_Price_Config!$G$5:$N$100, 5, FALSE), 10) + ABS(N(M44)) * IFERROR(VLOOKUP(F44, Relic_Price_Config!$G$5:$N$100, 6, FALSE), 15) + IF(N(N44)&gt;1, (N(N44)-1)*10, 0)) * IFERROR(VLOOKUP(D44, Relic_Price_Config!$A$5:$E$9, 2, FALSE), 1), 0)))))</f>
        <v>-1</v>
      </c>
      <c r="R44" s="68">
        <f t="shared" si="2"/>
        <v>330</v>
      </c>
      <c r="S44" s="68">
        <f t="shared" si="3"/>
        <v>615</v>
      </c>
      <c r="T44" s="68">
        <f>IF(E44="OnGainRelic", 0, MIN(IFERROR(VLOOKUP(D44, Relic_Price_Config!$A$5:$E$9, 4, FALSE), 350), MAX(IFERROR(VLOOKUP(D44, Relic_Price_Config!$A$5:$E$9, 3, FALSE), 210), ROUND((IFERROR(VLOOKUP(F44, Relic_Price_Config!$G$5:$N$100, 4, FALSE), 280) + N(H44) * IFERROR(VLOOKUP(F44, Relic_Price_Config!$G$5:$N$100, 5, FALSE), 10) + ABS(N(M44)) * IFERROR(VLOOKUP(F44, Relic_Price_Config!$G$5:$N$100, 6, FALSE), 15) + IF(N(N44)&gt;1, (N(N44)-1)*10, 0)) * IFERROR(VLOOKUP(D44, Relic_Price_Config!$A$5:$E$9, 2, FALSE), 1), 0))))</f>
        <v>473</v>
      </c>
      <c r="U44" s="56" t="str">
        <f>IF(E44="OnGainRelic", "획득 시 즉발 (0원)", IFERROR(VLOOKUP(F44, Relic_Price_Config!$G$5:$N$100, 2, FALSE), "기타 효과"))</f>
        <v>방어 관련 [체력 회복]</v>
      </c>
    </row>
    <row r="45" spans="1:21" ht="17.25" customHeight="1">
      <c r="A45" s="56" t="s">
        <v>2332</v>
      </c>
      <c r="B45" s="57" t="s">
        <v>2333</v>
      </c>
      <c r="C45" s="57" t="s">
        <v>2334</v>
      </c>
      <c r="D45" s="56" t="s">
        <v>208</v>
      </c>
      <c r="E45" s="56" t="s">
        <v>2202</v>
      </c>
      <c r="F45" s="56" t="s">
        <v>418</v>
      </c>
      <c r="G45" s="56" t="s">
        <v>108</v>
      </c>
      <c r="H45" s="56">
        <v>0</v>
      </c>
      <c r="I45" s="56"/>
      <c r="J45" s="56">
        <v>0</v>
      </c>
      <c r="K45" s="56" t="s">
        <v>94</v>
      </c>
      <c r="L45" s="56"/>
      <c r="M45" s="56">
        <v>1</v>
      </c>
      <c r="N45" s="56">
        <v>1</v>
      </c>
      <c r="O45" s="56">
        <v>-1</v>
      </c>
      <c r="P45" s="56" t="s">
        <v>1729</v>
      </c>
      <c r="Q45" s="68">
        <f>IF(E45="OnGainRelic", 0, IF(OR(P45="Quest", P45="Monster", P45="Event", D45="Basic", D45="Upgrade"), -1, MIN(IFERROR(VLOOKUP(D45, Relic_Price_Config!$A$5:$E$9, 4, FALSE), 350), MAX(IFERROR(VLOOKUP(D45, Relic_Price_Config!$A$5:$E$9, 3, FALSE), 210), ROUND((IFERROR(VLOOKUP(F45, Relic_Price_Config!$G$5:$N$100, 4, FALSE), 280) + N(H45) * IFERROR(VLOOKUP(F45, Relic_Price_Config!$G$5:$N$100, 5, FALSE), 10) + ABS(N(M45)) * IFERROR(VLOOKUP(F45, Relic_Price_Config!$G$5:$N$100, 6, FALSE), 15) + IF(N(N45)&gt;1, (N(N45)-1)*10, 0)) * IFERROR(VLOOKUP(D45, Relic_Price_Config!$A$5:$E$9, 2, FALSE), 1), 0)))))</f>
        <v>-1</v>
      </c>
      <c r="R45" s="68">
        <f t="shared" si="2"/>
        <v>325</v>
      </c>
      <c r="S45" s="68">
        <f t="shared" si="3"/>
        <v>605</v>
      </c>
      <c r="T45" s="68">
        <f>IF(E45="OnGainRelic", 0, MIN(IFERROR(VLOOKUP(D45, Relic_Price_Config!$A$5:$E$9, 4, FALSE), 350), MAX(IFERROR(VLOOKUP(D45, Relic_Price_Config!$A$5:$E$9, 3, FALSE), 210), ROUND((IFERROR(VLOOKUP(F45, Relic_Price_Config!$G$5:$N$100, 4, FALSE), 280) + N(H45) * IFERROR(VLOOKUP(F45, Relic_Price_Config!$G$5:$N$100, 5, FALSE), 10) + ABS(N(M45)) * IFERROR(VLOOKUP(F45, Relic_Price_Config!$G$5:$N$100, 6, FALSE), 15) + IF(N(N45)&gt;1, (N(N45)-1)*10, 0)) * IFERROR(VLOOKUP(D45, Relic_Price_Config!$A$5:$E$9, 2, FALSE), 1), 0))))</f>
        <v>465</v>
      </c>
      <c r="U45" s="56" t="str">
        <f>IF(E45="OnGainRelic", "획득 시 즉발 (0원)", IFERROR(VLOOKUP(F45, Relic_Price_Config!$G$5:$N$100, 2, FALSE), "기타 효과"))</f>
        <v>공격 증가 [적 받는 피해 증가]</v>
      </c>
    </row>
    <row r="46" spans="1:21" ht="27.6" customHeight="1">
      <c r="A46" s="56" t="s">
        <v>2335</v>
      </c>
      <c r="B46" s="57" t="s">
        <v>2336</v>
      </c>
      <c r="C46" s="57" t="s">
        <v>2337</v>
      </c>
      <c r="D46" s="56" t="s">
        <v>208</v>
      </c>
      <c r="E46" s="56" t="s">
        <v>2256</v>
      </c>
      <c r="F46" s="56" t="s">
        <v>1091</v>
      </c>
      <c r="G46" s="56" t="s">
        <v>108</v>
      </c>
      <c r="H46" s="56">
        <v>0</v>
      </c>
      <c r="I46" s="56"/>
      <c r="J46" s="56">
        <v>0</v>
      </c>
      <c r="K46" s="56" t="s">
        <v>357</v>
      </c>
      <c r="L46" s="56"/>
      <c r="M46" s="56">
        <v>1</v>
      </c>
      <c r="N46" s="56">
        <v>2</v>
      </c>
      <c r="O46" s="56">
        <v>-1</v>
      </c>
      <c r="P46" s="56" t="s">
        <v>1729</v>
      </c>
      <c r="Q46" s="68">
        <f>IF(E46="OnGainRelic", 0, IF(OR(P46="Quest", P46="Monster", P46="Event", D46="Basic", D46="Upgrade"), -1, MIN(IFERROR(VLOOKUP(D46, Relic_Price_Config!$A$5:$E$9, 4, FALSE), 350), MAX(IFERROR(VLOOKUP(D46, Relic_Price_Config!$A$5:$E$9, 3, FALSE), 210), ROUND((IFERROR(VLOOKUP(F46, Relic_Price_Config!$G$5:$N$100, 4, FALSE), 280) + N(H46) * IFERROR(VLOOKUP(F46, Relic_Price_Config!$G$5:$N$100, 5, FALSE), 10) + ABS(N(M46)) * IFERROR(VLOOKUP(F46, Relic_Price_Config!$G$5:$N$100, 6, FALSE), 15) + IF(N(N46)&gt;1, (N(N46)-1)*10, 0)) * IFERROR(VLOOKUP(D46, Relic_Price_Config!$A$5:$E$9, 2, FALSE), 1), 0)))))</f>
        <v>-1</v>
      </c>
      <c r="R46" s="68">
        <f t="shared" si="2"/>
        <v>335</v>
      </c>
      <c r="S46" s="68">
        <f t="shared" si="3"/>
        <v>625</v>
      </c>
      <c r="T46" s="68">
        <f>IF(E46="OnGainRelic", 0, MIN(IFERROR(VLOOKUP(D46, Relic_Price_Config!$A$5:$E$9, 4, FALSE), 350), MAX(IFERROR(VLOOKUP(D46, Relic_Price_Config!$A$5:$E$9, 3, FALSE), 210), ROUND((IFERROR(VLOOKUP(F46, Relic_Price_Config!$G$5:$N$100, 4, FALSE), 280) + N(H46) * IFERROR(VLOOKUP(F46, Relic_Price_Config!$G$5:$N$100, 5, FALSE), 10) + ABS(N(M46)) * IFERROR(VLOOKUP(F46, Relic_Price_Config!$G$5:$N$100, 6, FALSE), 15) + IF(N(N46)&gt;1, (N(N46)-1)*10, 0)) * IFERROR(VLOOKUP(D46, Relic_Price_Config!$A$5:$E$9, 2, FALSE), 1), 0))))</f>
        <v>480</v>
      </c>
      <c r="U46" s="56" t="str">
        <f>IF(E46="OnGainRelic", "획득 시 즉발 (0원)", IFERROR(VLOOKUP(F46, Relic_Price_Config!$G$5:$N$100, 2, FALSE), "기타 효과"))</f>
        <v>방어 증가 [적 공격/화력 감소]</v>
      </c>
    </row>
    <row r="47" spans="1:21" ht="17.25" customHeight="1">
      <c r="A47" s="56" t="s">
        <v>2338</v>
      </c>
      <c r="B47" s="57" t="s">
        <v>2339</v>
      </c>
      <c r="C47" s="62" t="s">
        <v>2340</v>
      </c>
      <c r="D47" s="56" t="s">
        <v>208</v>
      </c>
      <c r="E47" s="56" t="s">
        <v>2202</v>
      </c>
      <c r="F47" s="56" t="s">
        <v>146</v>
      </c>
      <c r="G47" s="56" t="s">
        <v>45</v>
      </c>
      <c r="H47" s="56">
        <v>2</v>
      </c>
      <c r="I47" s="56"/>
      <c r="J47" s="56">
        <v>0</v>
      </c>
      <c r="K47" s="56"/>
      <c r="L47" s="56"/>
      <c r="M47" s="56">
        <v>0</v>
      </c>
      <c r="N47" s="56">
        <v>0</v>
      </c>
      <c r="O47" s="56">
        <v>-1</v>
      </c>
      <c r="P47" s="56" t="s">
        <v>1729</v>
      </c>
      <c r="Q47" s="68">
        <f>IF(E47="OnGainRelic", 0, IF(OR(P47="Quest", P47="Monster", P47="Event", D47="Basic", D47="Upgrade"), -1, MIN(IFERROR(VLOOKUP(D47, Relic_Price_Config!$A$5:$E$9, 4, FALSE), 350), MAX(IFERROR(VLOOKUP(D47, Relic_Price_Config!$A$5:$E$9, 3, FALSE), 210), ROUND((IFERROR(VLOOKUP(F47, Relic_Price_Config!$G$5:$N$100, 4, FALSE), 280) + N(H47) * IFERROR(VLOOKUP(F47, Relic_Price_Config!$G$5:$N$100, 5, FALSE), 10) + ABS(N(M47)) * IFERROR(VLOOKUP(F47, Relic_Price_Config!$G$5:$N$100, 6, FALSE), 15) + IF(N(N47)&gt;1, (N(N47)-1)*10, 0)) * IFERROR(VLOOKUP(D47, Relic_Price_Config!$A$5:$E$9, 2, FALSE), 1), 0)))))</f>
        <v>-1</v>
      </c>
      <c r="R47" s="68">
        <f t="shared" si="2"/>
        <v>370</v>
      </c>
      <c r="S47" s="68">
        <f t="shared" si="3"/>
        <v>685</v>
      </c>
      <c r="T47" s="68">
        <f>IF(E47="OnGainRelic", 0, MIN(IFERROR(VLOOKUP(D47, Relic_Price_Config!$A$5:$E$9, 4, FALSE), 350), MAX(IFERROR(VLOOKUP(D47, Relic_Price_Config!$A$5:$E$9, 3, FALSE), 210), ROUND((IFERROR(VLOOKUP(F47, Relic_Price_Config!$G$5:$N$100, 4, FALSE), 280) + N(H47) * IFERROR(VLOOKUP(F47, Relic_Price_Config!$G$5:$N$100, 5, FALSE), 10) + ABS(N(M47)) * IFERROR(VLOOKUP(F47, Relic_Price_Config!$G$5:$N$100, 6, FALSE), 15) + IF(N(N47)&gt;1, (N(N47)-1)*10, 0)) * IFERROR(VLOOKUP(D47, Relic_Price_Config!$A$5:$E$9, 2, FALSE), 1), 0))))</f>
        <v>525</v>
      </c>
      <c r="U47" s="56" t="str">
        <f>IF(E47="OnGainRelic", "획득 시 즉발 (0원)", IFERROR(VLOOKUP(F47, Relic_Price_Config!$G$5:$N$100, 2, FALSE), "기타 효과"))</f>
        <v>에너지 관련 (행동력 추가)</v>
      </c>
    </row>
    <row r="48" spans="1:21" ht="17.25" customHeight="1">
      <c r="A48" s="56" t="s">
        <v>2341</v>
      </c>
      <c r="B48" s="57" t="s">
        <v>2342</v>
      </c>
      <c r="C48" s="57" t="s">
        <v>2343</v>
      </c>
      <c r="D48" s="56" t="s">
        <v>208</v>
      </c>
      <c r="E48" s="56" t="s">
        <v>2256</v>
      </c>
      <c r="F48" s="56" t="s">
        <v>638</v>
      </c>
      <c r="G48" s="56" t="s">
        <v>504</v>
      </c>
      <c r="H48" s="56">
        <v>10</v>
      </c>
      <c r="I48" s="56"/>
      <c r="J48" s="56">
        <v>0</v>
      </c>
      <c r="K48" s="56"/>
      <c r="L48" s="56"/>
      <c r="M48" s="56">
        <v>0</v>
      </c>
      <c r="N48" s="56">
        <v>0</v>
      </c>
      <c r="O48" s="56">
        <v>-1</v>
      </c>
      <c r="P48" s="56" t="s">
        <v>1729</v>
      </c>
      <c r="Q48" s="68">
        <f>IF(E48="OnGainRelic", 0, IF(OR(P48="Quest", P48="Monster", P48="Event", D48="Basic", D48="Upgrade"), -1, MIN(IFERROR(VLOOKUP(D48, Relic_Price_Config!$A$5:$E$9, 4, FALSE), 350), MAX(IFERROR(VLOOKUP(D48, Relic_Price_Config!$A$5:$E$9, 3, FALSE), 210), ROUND((IFERROR(VLOOKUP(F48, Relic_Price_Config!$G$5:$N$100, 4, FALSE), 280) + N(H48) * IFERROR(VLOOKUP(F48, Relic_Price_Config!$G$5:$N$100, 5, FALSE), 10) + ABS(N(M48)) * IFERROR(VLOOKUP(F48, Relic_Price_Config!$G$5:$N$100, 6, FALSE), 15) + IF(N(N48)&gt;1, (N(N48)-1)*10, 0)) * IFERROR(VLOOKUP(D48, Relic_Price_Config!$A$5:$E$9, 2, FALSE), 1), 0)))))</f>
        <v>-1</v>
      </c>
      <c r="R48" s="68">
        <f t="shared" si="2"/>
        <v>370</v>
      </c>
      <c r="S48" s="68">
        <f t="shared" si="3"/>
        <v>685</v>
      </c>
      <c r="T48" s="68">
        <f>IF(E48="OnGainRelic", 0, MIN(IFERROR(VLOOKUP(D48, Relic_Price_Config!$A$5:$E$9, 4, FALSE), 350), MAX(IFERROR(VLOOKUP(D48, Relic_Price_Config!$A$5:$E$9, 3, FALSE), 210), ROUND((IFERROR(VLOOKUP(F48, Relic_Price_Config!$G$5:$N$100, 4, FALSE), 280) + N(H48) * IFERROR(VLOOKUP(F48, Relic_Price_Config!$G$5:$N$100, 5, FALSE), 10) + ABS(N(M48)) * IFERROR(VLOOKUP(F48, Relic_Price_Config!$G$5:$N$100, 6, FALSE), 15) + IF(N(N48)&gt;1, (N(N48)-1)*10, 0)) * IFERROR(VLOOKUP(D48, Relic_Price_Config!$A$5:$E$9, 2, FALSE), 1), 0))))</f>
        <v>525</v>
      </c>
      <c r="U48" s="56" t="str">
        <f>IF(E48="OnGainRelic", "획득 시 즉발 (0원)", IFERROR(VLOOKUP(F48, Relic_Price_Config!$G$5:$N$100, 2, FALSE), "기타 효과"))</f>
        <v>방어 관련 [광역 보호막 획득]</v>
      </c>
    </row>
    <row r="49" spans="1:21" ht="17.25" customHeight="1">
      <c r="A49" s="56" t="s">
        <v>2344</v>
      </c>
      <c r="B49" s="57" t="s">
        <v>2345</v>
      </c>
      <c r="C49" s="57" t="s">
        <v>2346</v>
      </c>
      <c r="D49" s="56" t="s">
        <v>208</v>
      </c>
      <c r="E49" s="56" t="s">
        <v>2225</v>
      </c>
      <c r="F49" s="56" t="s">
        <v>1579</v>
      </c>
      <c r="G49" s="56" t="s">
        <v>45</v>
      </c>
      <c r="H49" s="56">
        <v>5</v>
      </c>
      <c r="I49" s="56"/>
      <c r="J49" s="56">
        <v>0</v>
      </c>
      <c r="K49" s="56"/>
      <c r="L49" s="56"/>
      <c r="M49" s="56">
        <v>0</v>
      </c>
      <c r="N49" s="56">
        <v>0</v>
      </c>
      <c r="O49" s="56">
        <v>-1</v>
      </c>
      <c r="P49" s="56" t="s">
        <v>1729</v>
      </c>
      <c r="Q49" s="68">
        <f>IF(E49="OnGainRelic", 0, IF(OR(P49="Quest", P49="Monster", P49="Event", D49="Basic", D49="Upgrade"), -1, MIN(IFERROR(VLOOKUP(D49, Relic_Price_Config!$A$5:$E$9, 4, FALSE), 350), MAX(IFERROR(VLOOKUP(D49, Relic_Price_Config!$A$5:$E$9, 3, FALSE), 210), ROUND((IFERROR(VLOOKUP(F49, Relic_Price_Config!$G$5:$N$100, 4, FALSE), 280) + N(H49) * IFERROR(VLOOKUP(F49, Relic_Price_Config!$G$5:$N$100, 5, FALSE), 10) + ABS(N(M49)) * IFERROR(VLOOKUP(F49, Relic_Price_Config!$G$5:$N$100, 6, FALSE), 15) + IF(N(N49)&gt;1, (N(N49)-1)*10, 0)) * IFERROR(VLOOKUP(D49, Relic_Price_Config!$A$5:$E$9, 2, FALSE), 1), 0)))))</f>
        <v>-1</v>
      </c>
      <c r="R49" s="68">
        <f t="shared" si="2"/>
        <v>365</v>
      </c>
      <c r="S49" s="68">
        <f t="shared" si="3"/>
        <v>675</v>
      </c>
      <c r="T49" s="68">
        <f>IF(E49="OnGainRelic", 0, MIN(IFERROR(VLOOKUP(D49, Relic_Price_Config!$A$5:$E$9, 4, FALSE), 350), MAX(IFERROR(VLOOKUP(D49, Relic_Price_Config!$A$5:$E$9, 3, FALSE), 210), ROUND((IFERROR(VLOOKUP(F49, Relic_Price_Config!$G$5:$N$100, 4, FALSE), 280) + N(H49) * IFERROR(VLOOKUP(F49, Relic_Price_Config!$G$5:$N$100, 5, FALSE), 10) + ABS(N(M49)) * IFERROR(VLOOKUP(F49, Relic_Price_Config!$G$5:$N$100, 6, FALSE), 15) + IF(N(N49)&gt;1, (N(N49)-1)*10, 0)) * IFERROR(VLOOKUP(D49, Relic_Price_Config!$A$5:$E$9, 2, FALSE), 1), 0))))</f>
        <v>518</v>
      </c>
      <c r="U49" s="56" t="str">
        <f>IF(E49="OnGainRelic", "획득 시 즉발 (0원)", IFERROR(VLOOKUP(F49, Relic_Price_Config!$G$5:$N$100, 2, FALSE), "기타 효과"))</f>
        <v>방어 관련 [체력 회복]</v>
      </c>
    </row>
    <row r="50" spans="1:21" ht="41.4" customHeight="1">
      <c r="A50" s="56" t="s">
        <v>2347</v>
      </c>
      <c r="B50" s="57" t="s">
        <v>2348</v>
      </c>
      <c r="C50" s="57" t="s">
        <v>2349</v>
      </c>
      <c r="D50" s="56" t="s">
        <v>208</v>
      </c>
      <c r="E50" s="56" t="s">
        <v>2212</v>
      </c>
      <c r="F50" s="56" t="s">
        <v>652</v>
      </c>
      <c r="G50" s="56" t="s">
        <v>108</v>
      </c>
      <c r="H50" s="56">
        <v>3</v>
      </c>
      <c r="I50" s="56"/>
      <c r="J50" s="56">
        <v>0</v>
      </c>
      <c r="K50" s="56"/>
      <c r="L50" s="56"/>
      <c r="M50" s="56">
        <v>0</v>
      </c>
      <c r="N50" s="56">
        <v>0</v>
      </c>
      <c r="O50" s="56">
        <v>-1</v>
      </c>
      <c r="P50" s="56" t="s">
        <v>1729</v>
      </c>
      <c r="Q50" s="68">
        <f>IF(E50="OnGainRelic", 0, IF(OR(P50="Quest", P50="Monster", P50="Event", D50="Basic", D50="Upgrade"), -1, MIN(IFERROR(VLOOKUP(D50, Relic_Price_Config!$A$5:$E$9, 4, FALSE), 350), MAX(IFERROR(VLOOKUP(D50, Relic_Price_Config!$A$5:$E$9, 3, FALSE), 210), ROUND((IFERROR(VLOOKUP(F50, Relic_Price_Config!$G$5:$N$100, 4, FALSE), 280) + N(H50) * IFERROR(VLOOKUP(F50, Relic_Price_Config!$G$5:$N$100, 5, FALSE), 10) + ABS(N(M50)) * IFERROR(VLOOKUP(F50, Relic_Price_Config!$G$5:$N$100, 6, FALSE), 15) + IF(N(N50)&gt;1, (N(N50)-1)*10, 0)) * IFERROR(VLOOKUP(D50, Relic_Price_Config!$A$5:$E$9, 2, FALSE), 1), 0)))))</f>
        <v>-1</v>
      </c>
      <c r="R50" s="68">
        <f t="shared" si="2"/>
        <v>305</v>
      </c>
      <c r="S50" s="68">
        <f t="shared" si="3"/>
        <v>565</v>
      </c>
      <c r="T50" s="68">
        <f>IF(E50="OnGainRelic", 0, MIN(IFERROR(VLOOKUP(D50, Relic_Price_Config!$A$5:$E$9, 4, FALSE), 350), MAX(IFERROR(VLOOKUP(D50, Relic_Price_Config!$A$5:$E$9, 3, FALSE), 210), ROUND((IFERROR(VLOOKUP(F50, Relic_Price_Config!$G$5:$N$100, 4, FALSE), 280) + N(H50) * IFERROR(VLOOKUP(F50, Relic_Price_Config!$G$5:$N$100, 5, FALSE), 10) + ABS(N(M50)) * IFERROR(VLOOKUP(F50, Relic_Price_Config!$G$5:$N$100, 6, FALSE), 15) + IF(N(N50)&gt;1, (N(N50)-1)*10, 0)) * IFERROR(VLOOKUP(D50, Relic_Price_Config!$A$5:$E$9, 2, FALSE), 1), 0))))</f>
        <v>435</v>
      </c>
      <c r="U50" s="56" t="str">
        <f>IF(E50="OnGainRelic", "획득 시 즉발 (0원)", IFERROR(VLOOKUP(F50, Relic_Price_Config!$G$5:$N$100, 2, FALSE), "기타 효과"))</f>
        <v>광역 피해 [전체 데미지]</v>
      </c>
    </row>
    <row r="51" spans="1:21" ht="55.2" customHeight="1">
      <c r="A51" s="56" t="s">
        <v>2350</v>
      </c>
      <c r="B51" s="57" t="s">
        <v>2351</v>
      </c>
      <c r="C51" s="57" t="s">
        <v>2352</v>
      </c>
      <c r="D51" s="56" t="s">
        <v>32</v>
      </c>
      <c r="E51" s="56" t="s">
        <v>2202</v>
      </c>
      <c r="F51" s="56" t="s">
        <v>1962</v>
      </c>
      <c r="G51" s="56" t="s">
        <v>45</v>
      </c>
      <c r="H51" s="56">
        <v>0</v>
      </c>
      <c r="I51" s="56"/>
      <c r="J51" s="56">
        <v>0</v>
      </c>
      <c r="K51" s="56" t="s">
        <v>1785</v>
      </c>
      <c r="L51" s="56"/>
      <c r="M51" s="56">
        <v>0</v>
      </c>
      <c r="N51" s="56">
        <v>1</v>
      </c>
      <c r="O51" s="56">
        <v>-1</v>
      </c>
      <c r="P51" s="56" t="s">
        <v>1045</v>
      </c>
      <c r="Q51" s="68">
        <f>IF(E51="OnGainRelic", 0, IF(OR(P51="Quest", P51="Monster", P51="Event", D51="Basic", D51="Upgrade"), -1, MIN(IFERROR(VLOOKUP(D51, Relic_Price_Config!$A$5:$E$9, 4, FALSE), 350), MAX(IFERROR(VLOOKUP(D51, Relic_Price_Config!$A$5:$E$9, 3, FALSE), 210), ROUND((IFERROR(VLOOKUP(F51, Relic_Price_Config!$G$5:$N$100, 4, FALSE), 280) + N(H51) * IFERROR(VLOOKUP(F51, Relic_Price_Config!$G$5:$N$100, 5, FALSE), 10) + ABS(N(M51)) * IFERROR(VLOOKUP(F51, Relic_Price_Config!$G$5:$N$100, 6, FALSE), 15) + IF(N(N51)&gt;1, (N(N51)-1)*10, 0)) * IFERROR(VLOOKUP(D51, Relic_Price_Config!$A$5:$E$9, 2, FALSE), 1), 0)))))</f>
        <v>-1</v>
      </c>
      <c r="R51" s="68">
        <f t="shared" si="2"/>
        <v>205</v>
      </c>
      <c r="S51" s="68">
        <f t="shared" si="3"/>
        <v>385</v>
      </c>
      <c r="T51" s="68">
        <f>IF(E51="OnGainRelic", 0, MIN(IFERROR(VLOOKUP(D51, Relic_Price_Config!$A$5:$E$9, 4, FALSE), 350), MAX(IFERROR(VLOOKUP(D51, Relic_Price_Config!$A$5:$E$9, 3, FALSE), 210), ROUND((IFERROR(VLOOKUP(F51, Relic_Price_Config!$G$5:$N$100, 4, FALSE), 280) + N(H51) * IFERROR(VLOOKUP(F51, Relic_Price_Config!$G$5:$N$100, 5, FALSE), 10) + ABS(N(M51)) * IFERROR(VLOOKUP(F51, Relic_Price_Config!$G$5:$N$100, 6, FALSE), 15) + IF(N(N51)&gt;1, (N(N51)-1)*10, 0)) * IFERROR(VLOOKUP(D51, Relic_Price_Config!$A$5:$E$9, 2, FALSE), 1), 0))))</f>
        <v>295</v>
      </c>
      <c r="U51" s="56" t="str">
        <f>IF(E51="OnGainRelic", "획득 시 즉발 (0원)", IFERROR(VLOOKUP(F51, Relic_Price_Config!$G$5:$N$100, 2, FALSE), "기타 효과"))</f>
        <v>방어 관련 [정령화: 피해 1 고정]</v>
      </c>
    </row>
    <row r="52" spans="1:21" ht="17.25" customHeight="1">
      <c r="A52" s="56" t="s">
        <v>2353</v>
      </c>
      <c r="B52" s="57" t="s">
        <v>2354</v>
      </c>
      <c r="C52" s="57" t="s">
        <v>2246</v>
      </c>
      <c r="D52" s="56" t="s">
        <v>32</v>
      </c>
      <c r="E52" s="56" t="s">
        <v>2202</v>
      </c>
      <c r="F52" s="56" t="s">
        <v>1091</v>
      </c>
      <c r="G52" s="56" t="s">
        <v>108</v>
      </c>
      <c r="H52" s="56">
        <v>0</v>
      </c>
      <c r="I52" s="56"/>
      <c r="J52" s="56">
        <v>0</v>
      </c>
      <c r="K52" s="56" t="s">
        <v>357</v>
      </c>
      <c r="L52" s="56"/>
      <c r="M52" s="56">
        <v>1</v>
      </c>
      <c r="N52" s="56">
        <v>1</v>
      </c>
      <c r="O52" s="56">
        <v>-1</v>
      </c>
      <c r="P52" s="56" t="s">
        <v>1045</v>
      </c>
      <c r="Q52" s="68">
        <f>IF(E52="OnGainRelic", 0, IF(OR(P52="Quest", P52="Monster", P52="Event", D52="Basic", D52="Upgrade"), -1, MIN(IFERROR(VLOOKUP(D52, Relic_Price_Config!$A$5:$E$9, 4, FALSE), 350), MAX(IFERROR(VLOOKUP(D52, Relic_Price_Config!$A$5:$E$9, 3, FALSE), 210), ROUND((IFERROR(VLOOKUP(F52, Relic_Price_Config!$G$5:$N$100, 4, FALSE), 280) + N(H52) * IFERROR(VLOOKUP(F52, Relic_Price_Config!$G$5:$N$100, 5, FALSE), 10) + ABS(N(M52)) * IFERROR(VLOOKUP(F52, Relic_Price_Config!$G$5:$N$100, 6, FALSE), 15) + IF(N(N52)&gt;1, (N(N52)-1)*10, 0)) * IFERROR(VLOOKUP(D52, Relic_Price_Config!$A$5:$E$9, 2, FALSE), 1), 0)))))</f>
        <v>-1</v>
      </c>
      <c r="R52" s="68">
        <f t="shared" si="2"/>
        <v>215</v>
      </c>
      <c r="S52" s="68">
        <f t="shared" si="3"/>
        <v>405</v>
      </c>
      <c r="T52" s="68">
        <f>IF(E52="OnGainRelic", 0, MIN(IFERROR(VLOOKUP(D52, Relic_Price_Config!$A$5:$E$9, 4, FALSE), 350), MAX(IFERROR(VLOOKUP(D52, Relic_Price_Config!$A$5:$E$9, 3, FALSE), 210), ROUND((IFERROR(VLOOKUP(F52, Relic_Price_Config!$G$5:$N$100, 4, FALSE), 280) + N(H52) * IFERROR(VLOOKUP(F52, Relic_Price_Config!$G$5:$N$100, 5, FALSE), 10) + ABS(N(M52)) * IFERROR(VLOOKUP(F52, Relic_Price_Config!$G$5:$N$100, 6, FALSE), 15) + IF(N(N52)&gt;1, (N(N52)-1)*10, 0)) * IFERROR(VLOOKUP(D52, Relic_Price_Config!$A$5:$E$9, 2, FALSE), 1), 0))))</f>
        <v>310</v>
      </c>
      <c r="U52" s="56" t="str">
        <f>IF(E52="OnGainRelic", "획득 시 즉발 (0원)", IFERROR(VLOOKUP(F52, Relic_Price_Config!$G$5:$N$100, 2, FALSE), "기타 효과"))</f>
        <v>방어 증가 [적 공격/화력 감소]</v>
      </c>
    </row>
    <row r="53" spans="1:21" ht="17.25" customHeight="1">
      <c r="A53" s="56" t="s">
        <v>2355</v>
      </c>
      <c r="B53" s="57" t="s">
        <v>2356</v>
      </c>
      <c r="C53" s="57" t="s">
        <v>2357</v>
      </c>
      <c r="D53" s="56" t="s">
        <v>32</v>
      </c>
      <c r="E53" s="56" t="s">
        <v>2202</v>
      </c>
      <c r="F53" s="56" t="s">
        <v>100</v>
      </c>
      <c r="G53" s="56" t="s">
        <v>45</v>
      </c>
      <c r="H53" s="56">
        <v>0</v>
      </c>
      <c r="I53" s="56"/>
      <c r="J53" s="56">
        <v>0</v>
      </c>
      <c r="K53" s="56" t="s">
        <v>101</v>
      </c>
      <c r="L53" s="56"/>
      <c r="M53" s="56">
        <v>3</v>
      </c>
      <c r="N53" s="56">
        <v>-1</v>
      </c>
      <c r="O53" s="56">
        <v>-1</v>
      </c>
      <c r="P53" s="56" t="s">
        <v>1045</v>
      </c>
      <c r="Q53" s="68">
        <f>IF(E53="OnGainRelic", 0, IF(OR(P53="Quest", P53="Monster", P53="Event", D53="Basic", D53="Upgrade"), -1, MIN(IFERROR(VLOOKUP(D53, Relic_Price_Config!$A$5:$E$9, 4, FALSE), 350), MAX(IFERROR(VLOOKUP(D53, Relic_Price_Config!$A$5:$E$9, 3, FALSE), 210), ROUND((IFERROR(VLOOKUP(F53, Relic_Price_Config!$G$5:$N$100, 4, FALSE), 280) + N(H53) * IFERROR(VLOOKUP(F53, Relic_Price_Config!$G$5:$N$100, 5, FALSE), 10) + ABS(N(M53)) * IFERROR(VLOOKUP(F53, Relic_Price_Config!$G$5:$N$100, 6, FALSE), 15) + IF(N(N53)&gt;1, (N(N53)-1)*10, 0)) * IFERROR(VLOOKUP(D53, Relic_Price_Config!$A$5:$E$9, 2, FALSE), 1), 0)))))</f>
        <v>-1</v>
      </c>
      <c r="R53" s="68">
        <f t="shared" si="2"/>
        <v>245</v>
      </c>
      <c r="S53" s="68">
        <f t="shared" si="3"/>
        <v>455</v>
      </c>
      <c r="T53" s="68">
        <f>IF(E53="OnGainRelic", 0, MIN(IFERROR(VLOOKUP(D53, Relic_Price_Config!$A$5:$E$9, 4, FALSE), 350), MAX(IFERROR(VLOOKUP(D53, Relic_Price_Config!$A$5:$E$9, 3, FALSE), 210), ROUND((IFERROR(VLOOKUP(F53, Relic_Price_Config!$G$5:$N$100, 4, FALSE), 280) + N(H53) * IFERROR(VLOOKUP(F53, Relic_Price_Config!$G$5:$N$100, 5, FALSE), 10) + ABS(N(M53)) * IFERROR(VLOOKUP(F53, Relic_Price_Config!$G$5:$N$100, 6, FALSE), 15) + IF(N(N53)&gt;1, (N(N53)-1)*10, 0)) * IFERROR(VLOOKUP(D53, Relic_Price_Config!$A$5:$E$9, 2, FALSE), 1), 0))))</f>
        <v>350</v>
      </c>
      <c r="U53" s="56" t="str">
        <f>IF(E53="OnGainRelic", "획득 시 즉발 (0원)", IFERROR(VLOOKUP(F53, Relic_Price_Config!$G$5:$N$100, 2, FALSE), "기타 효과"))</f>
        <v>방어 관련 [회피율 증가]</v>
      </c>
    </row>
    <row r="54" spans="1:21" ht="17.25" customHeight="1">
      <c r="A54" s="56" t="s">
        <v>2358</v>
      </c>
      <c r="B54" s="57" t="s">
        <v>2359</v>
      </c>
      <c r="C54" s="57" t="s">
        <v>2360</v>
      </c>
      <c r="D54" s="56" t="s">
        <v>32</v>
      </c>
      <c r="E54" s="56" t="s">
        <v>2186</v>
      </c>
      <c r="F54" s="56" t="s">
        <v>1860</v>
      </c>
      <c r="G54" s="56" t="s">
        <v>45</v>
      </c>
      <c r="H54" s="56">
        <v>0</v>
      </c>
      <c r="I54" s="56"/>
      <c r="J54" s="56">
        <v>0</v>
      </c>
      <c r="K54" s="56" t="s">
        <v>229</v>
      </c>
      <c r="L54" s="13" t="s">
        <v>33</v>
      </c>
      <c r="M54" s="56">
        <v>-1</v>
      </c>
      <c r="N54" s="56">
        <v>-1</v>
      </c>
      <c r="O54" s="56">
        <v>-1</v>
      </c>
      <c r="P54" s="56" t="s">
        <v>1045</v>
      </c>
      <c r="Q54" s="68">
        <f>IF(E54="OnGainRelic", 0, IF(OR(P54="Quest", P54="Monster", P54="Event", D54="Basic", D54="Upgrade"), -1, MIN(IFERROR(VLOOKUP(D54, Relic_Price_Config!$A$5:$E$9, 4, FALSE), 350), MAX(IFERROR(VLOOKUP(D54, Relic_Price_Config!$A$5:$E$9, 3, FALSE), 210), ROUND((IFERROR(VLOOKUP(F54, Relic_Price_Config!$G$5:$N$100, 4, FALSE), 280) + N(H54) * IFERROR(VLOOKUP(F54, Relic_Price_Config!$G$5:$N$100, 5, FALSE), 10) + ABS(N(M54)) * IFERROR(VLOOKUP(F54, Relic_Price_Config!$G$5:$N$100, 6, FALSE), 15) + IF(N(N54)&gt;1, (N(N54)-1)*10, 0)) * IFERROR(VLOOKUP(D54, Relic_Price_Config!$A$5:$E$9, 2, FALSE), 1), 0)))))</f>
        <v>-1</v>
      </c>
      <c r="R54" s="68">
        <f t="shared" si="2"/>
        <v>215</v>
      </c>
      <c r="S54" s="68">
        <f t="shared" si="3"/>
        <v>395</v>
      </c>
      <c r="T54" s="68">
        <f>IF(E54="OnGainRelic", 0, MIN(IFERROR(VLOOKUP(D54, Relic_Price_Config!$A$5:$E$9, 4, FALSE), 350), MAX(IFERROR(VLOOKUP(D54, Relic_Price_Config!$A$5:$E$9, 3, FALSE), 210), ROUND((IFERROR(VLOOKUP(F54, Relic_Price_Config!$G$5:$N$100, 4, FALSE), 280) + N(H54) * IFERROR(VLOOKUP(F54, Relic_Price_Config!$G$5:$N$100, 5, FALSE), 10) + ABS(N(M54)) * IFERROR(VLOOKUP(F54, Relic_Price_Config!$G$5:$N$100, 6, FALSE), 15) + IF(N(N54)&gt;1, (N(N54)-1)*10, 0)) * IFERROR(VLOOKUP(D54, Relic_Price_Config!$A$5:$E$9, 2, FALSE), 1), 0))))</f>
        <v>305</v>
      </c>
      <c r="U54" s="56" t="str">
        <f>IF(E54="OnGainRelic", "획득 시 즉발 (0원)", IFERROR(VLOOKUP(F54, Relic_Price_Config!$G$5:$N$100, 2, FALSE), "기타 효과"))</f>
        <v>방어 증가 [아군 방어 상승]</v>
      </c>
    </row>
    <row r="55" spans="1:21" ht="41.4" customHeight="1">
      <c r="A55" s="56" t="s">
        <v>2361</v>
      </c>
      <c r="B55" s="57" t="s">
        <v>2362</v>
      </c>
      <c r="C55" s="57" t="s">
        <v>2363</v>
      </c>
      <c r="D55" s="56" t="s">
        <v>32</v>
      </c>
      <c r="E55" s="56" t="s">
        <v>2202</v>
      </c>
      <c r="F55" s="56" t="s">
        <v>672</v>
      </c>
      <c r="G55" s="56" t="s">
        <v>504</v>
      </c>
      <c r="H55" s="56">
        <v>0</v>
      </c>
      <c r="I55" s="56"/>
      <c r="J55" s="56">
        <v>0</v>
      </c>
      <c r="K55" s="56" t="s">
        <v>229</v>
      </c>
      <c r="L55" s="56"/>
      <c r="M55" s="56">
        <v>2</v>
      </c>
      <c r="N55" s="56">
        <v>-1</v>
      </c>
      <c r="O55" s="56">
        <v>-1</v>
      </c>
      <c r="P55" s="56" t="s">
        <v>1045</v>
      </c>
      <c r="Q55" s="68">
        <f>IF(E55="OnGainRelic", 0, IF(OR(P55="Quest", P55="Monster", P55="Event", D55="Basic", D55="Upgrade"), -1, MIN(IFERROR(VLOOKUP(D55, Relic_Price_Config!$A$5:$E$9, 4, FALSE), 350), MAX(IFERROR(VLOOKUP(D55, Relic_Price_Config!$A$5:$E$9, 3, FALSE), 210), ROUND((IFERROR(VLOOKUP(F55, Relic_Price_Config!$G$5:$N$100, 4, FALSE), 280) + N(H55) * IFERROR(VLOOKUP(F55, Relic_Price_Config!$G$5:$N$100, 5, FALSE), 10) + ABS(N(M55)) * IFERROR(VLOOKUP(F55, Relic_Price_Config!$G$5:$N$100, 6, FALSE), 15) + IF(N(N55)&gt;1, (N(N55)-1)*10, 0)) * IFERROR(VLOOKUP(D55, Relic_Price_Config!$A$5:$E$9, 2, FALSE), 1), 0)))))</f>
        <v>-1</v>
      </c>
      <c r="R55" s="68">
        <f t="shared" si="2"/>
        <v>240</v>
      </c>
      <c r="S55" s="68">
        <f t="shared" si="3"/>
        <v>440</v>
      </c>
      <c r="T55" s="68">
        <f>IF(E55="OnGainRelic", 0, MIN(IFERROR(VLOOKUP(D55, Relic_Price_Config!$A$5:$E$9, 4, FALSE), 350), MAX(IFERROR(VLOOKUP(D55, Relic_Price_Config!$A$5:$E$9, 3, FALSE), 210), ROUND((IFERROR(VLOOKUP(F55, Relic_Price_Config!$G$5:$N$100, 4, FALSE), 280) + N(H55) * IFERROR(VLOOKUP(F55, Relic_Price_Config!$G$5:$N$100, 5, FALSE), 10) + ABS(N(M55)) * IFERROR(VLOOKUP(F55, Relic_Price_Config!$G$5:$N$100, 6, FALSE), 15) + IF(N(N55)&gt;1, (N(N55)-1)*10, 0)) * IFERROR(VLOOKUP(D55, Relic_Price_Config!$A$5:$E$9, 2, FALSE), 1), 0))))</f>
        <v>340</v>
      </c>
      <c r="U55" s="56" t="str">
        <f>IF(E55="OnGainRelic", "획득 시 즉발 (0원)", IFERROR(VLOOKUP(F55, Relic_Price_Config!$G$5:$N$100, 2, FALSE), "기타 효과"))</f>
        <v>방어 증가 [광역 방어 상승]</v>
      </c>
    </row>
    <row r="56" spans="1:21" ht="17.25" customHeight="1">
      <c r="A56" s="56" t="s">
        <v>2364</v>
      </c>
      <c r="B56" s="57" t="s">
        <v>2365</v>
      </c>
      <c r="C56" s="57" t="s">
        <v>2366</v>
      </c>
      <c r="D56" s="56" t="s">
        <v>32</v>
      </c>
      <c r="E56" s="56" t="s">
        <v>2202</v>
      </c>
      <c r="F56" s="56" t="s">
        <v>613</v>
      </c>
      <c r="G56" s="56" t="s">
        <v>504</v>
      </c>
      <c r="H56" s="56">
        <v>0</v>
      </c>
      <c r="I56" s="56"/>
      <c r="J56" s="56">
        <v>0</v>
      </c>
      <c r="K56" s="56" t="s">
        <v>71</v>
      </c>
      <c r="L56" s="56"/>
      <c r="M56" s="56">
        <v>2</v>
      </c>
      <c r="N56" s="56">
        <v>-1</v>
      </c>
      <c r="O56" s="56">
        <v>-1</v>
      </c>
      <c r="P56" s="56" t="s">
        <v>1045</v>
      </c>
      <c r="Q56" s="68">
        <f>IF(E56="OnGainRelic", 0, IF(OR(P56="Quest", P56="Monster", P56="Event", D56="Basic", D56="Upgrade"), -1, MIN(IFERROR(VLOOKUP(D56, Relic_Price_Config!$A$5:$E$9, 4, FALSE), 350), MAX(IFERROR(VLOOKUP(D56, Relic_Price_Config!$A$5:$E$9, 3, FALSE), 210), ROUND((IFERROR(VLOOKUP(F56, Relic_Price_Config!$G$5:$N$100, 4, FALSE), 280) + N(H56) * IFERROR(VLOOKUP(F56, Relic_Price_Config!$G$5:$N$100, 5, FALSE), 10) + ABS(N(M56)) * IFERROR(VLOOKUP(F56, Relic_Price_Config!$G$5:$N$100, 6, FALSE), 15) + IF(N(N56)&gt;1, (N(N56)-1)*10, 0)) * IFERROR(VLOOKUP(D56, Relic_Price_Config!$A$5:$E$9, 2, FALSE), 1), 0)))))</f>
        <v>-1</v>
      </c>
      <c r="R56" s="68">
        <f t="shared" si="2"/>
        <v>240</v>
      </c>
      <c r="S56" s="68">
        <f t="shared" si="3"/>
        <v>440</v>
      </c>
      <c r="T56" s="68">
        <f>IF(E56="OnGainRelic", 0, MIN(IFERROR(VLOOKUP(D56, Relic_Price_Config!$A$5:$E$9, 4, FALSE), 350), MAX(IFERROR(VLOOKUP(D56, Relic_Price_Config!$A$5:$E$9, 3, FALSE), 210), ROUND((IFERROR(VLOOKUP(F56, Relic_Price_Config!$G$5:$N$100, 4, FALSE), 280) + N(H56) * IFERROR(VLOOKUP(F56, Relic_Price_Config!$G$5:$N$100, 5, FALSE), 10) + ABS(N(M56)) * IFERROR(VLOOKUP(F56, Relic_Price_Config!$G$5:$N$100, 6, FALSE), 15) + IF(N(N56)&gt;1, (N(N56)-1)*10, 0)) * IFERROR(VLOOKUP(D56, Relic_Price_Config!$A$5:$E$9, 2, FALSE), 1), 0))))</f>
        <v>340</v>
      </c>
      <c r="U56" s="56" t="str">
        <f>IF(E56="OnGainRelic", "획득 시 즉발 (0원)", IFERROR(VLOOKUP(F56, Relic_Price_Config!$G$5:$N$100, 2, FALSE), "기타 효과"))</f>
        <v>공격 증가 [광역 공격 상승]</v>
      </c>
    </row>
    <row r="57" spans="1:21" ht="17.25" customHeight="1">
      <c r="A57" s="56" t="s">
        <v>2367</v>
      </c>
      <c r="B57" s="57" t="s">
        <v>2368</v>
      </c>
      <c r="C57" s="57" t="s">
        <v>2369</v>
      </c>
      <c r="D57" s="56" t="s">
        <v>32</v>
      </c>
      <c r="E57" s="56" t="s">
        <v>2310</v>
      </c>
      <c r="F57" s="56" t="s">
        <v>652</v>
      </c>
      <c r="G57" s="56" t="s">
        <v>108</v>
      </c>
      <c r="H57" s="56">
        <v>5</v>
      </c>
      <c r="I57" s="56"/>
      <c r="J57" s="56">
        <v>0</v>
      </c>
      <c r="K57" s="56" t="s">
        <v>38</v>
      </c>
      <c r="L57" s="56"/>
      <c r="M57" s="56">
        <v>0</v>
      </c>
      <c r="N57" s="56">
        <v>0</v>
      </c>
      <c r="O57" s="56">
        <v>-1</v>
      </c>
      <c r="P57" s="56" t="s">
        <v>1045</v>
      </c>
      <c r="Q57" s="68">
        <f>IF(E57="OnGainRelic", 0, IF(OR(P57="Quest", P57="Monster", P57="Event", D57="Basic", D57="Upgrade"), -1, MIN(IFERROR(VLOOKUP(D57, Relic_Price_Config!$A$5:$E$9, 4, FALSE), 350), MAX(IFERROR(VLOOKUP(D57, Relic_Price_Config!$A$5:$E$9, 3, FALSE), 210), ROUND((IFERROR(VLOOKUP(F57, Relic_Price_Config!$G$5:$N$100, 4, FALSE), 280) + N(H57) * IFERROR(VLOOKUP(F57, Relic_Price_Config!$G$5:$N$100, 5, FALSE), 10) + ABS(N(M57)) * IFERROR(VLOOKUP(F57, Relic_Price_Config!$G$5:$N$100, 6, FALSE), 15) + IF(N(N57)&gt;1, (N(N57)-1)*10, 0)) * IFERROR(VLOOKUP(D57, Relic_Price_Config!$A$5:$E$9, 2, FALSE), 1), 0)))))</f>
        <v>-1</v>
      </c>
      <c r="R57" s="68">
        <f t="shared" si="2"/>
        <v>215</v>
      </c>
      <c r="S57" s="68">
        <f t="shared" si="3"/>
        <v>405</v>
      </c>
      <c r="T57" s="68">
        <f>IF(E57="OnGainRelic", 0, MIN(IFERROR(VLOOKUP(D57, Relic_Price_Config!$A$5:$E$9, 4, FALSE), 350), MAX(IFERROR(VLOOKUP(D57, Relic_Price_Config!$A$5:$E$9, 3, FALSE), 210), ROUND((IFERROR(VLOOKUP(F57, Relic_Price_Config!$G$5:$N$100, 4, FALSE), 280) + N(H57) * IFERROR(VLOOKUP(F57, Relic_Price_Config!$G$5:$N$100, 5, FALSE), 10) + ABS(N(M57)) * IFERROR(VLOOKUP(F57, Relic_Price_Config!$G$5:$N$100, 6, FALSE), 15) + IF(N(N57)&gt;1, (N(N57)-1)*10, 0)) * IFERROR(VLOOKUP(D57, Relic_Price_Config!$A$5:$E$9, 2, FALSE), 1), 0))))</f>
        <v>310</v>
      </c>
      <c r="U57" s="56" t="str">
        <f>IF(E57="OnGainRelic", "획득 시 즉발 (0원)", IFERROR(VLOOKUP(F57, Relic_Price_Config!$G$5:$N$100, 2, FALSE), "기타 효과"))</f>
        <v>광역 피해 [전체 데미지]</v>
      </c>
    </row>
    <row r="58" spans="1:21" ht="41.4" customHeight="1">
      <c r="A58" s="56" t="s">
        <v>2370</v>
      </c>
      <c r="B58" s="57" t="s">
        <v>2371</v>
      </c>
      <c r="C58" s="57" t="s">
        <v>2372</v>
      </c>
      <c r="D58" s="56" t="s">
        <v>32</v>
      </c>
      <c r="E58" s="56" t="s">
        <v>2114</v>
      </c>
      <c r="F58" s="56" t="s">
        <v>44</v>
      </c>
      <c r="G58" s="56" t="s">
        <v>45</v>
      </c>
      <c r="H58" s="56">
        <v>3</v>
      </c>
      <c r="I58" s="56"/>
      <c r="J58" s="56">
        <v>0</v>
      </c>
      <c r="K58" s="56"/>
      <c r="L58" s="56"/>
      <c r="M58" s="56">
        <v>0</v>
      </c>
      <c r="N58" s="56">
        <v>0</v>
      </c>
      <c r="O58" s="56">
        <v>-1</v>
      </c>
      <c r="P58" s="56" t="s">
        <v>1045</v>
      </c>
      <c r="Q58" s="68">
        <f>IF(E58="OnGainRelic", 0, IF(OR(P58="Quest", P58="Monster", P58="Event", D58="Basic", D58="Upgrade"), -1, MIN(IFERROR(VLOOKUP(D58, Relic_Price_Config!$A$5:$E$9, 4, FALSE), 350), MAX(IFERROR(VLOOKUP(D58, Relic_Price_Config!$A$5:$E$9, 3, FALSE), 210), ROUND((IFERROR(VLOOKUP(F58, Relic_Price_Config!$G$5:$N$100, 4, FALSE), 280) + N(H58) * IFERROR(VLOOKUP(F58, Relic_Price_Config!$G$5:$N$100, 5, FALSE), 10) + ABS(N(M58)) * IFERROR(VLOOKUP(F58, Relic_Price_Config!$G$5:$N$100, 6, FALSE), 15) + IF(N(N58)&gt;1, (N(N58)-1)*10, 0)) * IFERROR(VLOOKUP(D58, Relic_Price_Config!$A$5:$E$9, 2, FALSE), 1), 0)))))</f>
        <v>-1</v>
      </c>
      <c r="R58" s="68">
        <f t="shared" si="2"/>
        <v>220</v>
      </c>
      <c r="S58" s="68">
        <f t="shared" si="3"/>
        <v>410</v>
      </c>
      <c r="T58" s="68">
        <f>IF(E58="OnGainRelic", 0, MIN(IFERROR(VLOOKUP(D58, Relic_Price_Config!$A$5:$E$9, 4, FALSE), 350), MAX(IFERROR(VLOOKUP(D58, Relic_Price_Config!$A$5:$E$9, 3, FALSE), 210), ROUND((IFERROR(VLOOKUP(F58, Relic_Price_Config!$G$5:$N$100, 4, FALSE), 280) + N(H58) * IFERROR(VLOOKUP(F58, Relic_Price_Config!$G$5:$N$100, 5, FALSE), 10) + ABS(N(M58)) * IFERROR(VLOOKUP(F58, Relic_Price_Config!$G$5:$N$100, 6, FALSE), 15) + IF(N(N58)&gt;1, (N(N58)-1)*10, 0)) * IFERROR(VLOOKUP(D58, Relic_Price_Config!$A$5:$E$9, 2, FALSE), 1), 0))))</f>
        <v>315</v>
      </c>
      <c r="U58" s="56" t="str">
        <f>IF(E58="OnGainRelic", "획득 시 즉발 (0원)", IFERROR(VLOOKUP(F58, Relic_Price_Config!$G$5:$N$100, 2, FALSE), "기타 효과"))</f>
        <v>방어 관련 [보호막 획득]</v>
      </c>
    </row>
    <row r="59" spans="1:21" ht="17.25" customHeight="1">
      <c r="A59" s="56" t="s">
        <v>2373</v>
      </c>
      <c r="B59" s="57" t="s">
        <v>2374</v>
      </c>
      <c r="C59" s="57" t="s">
        <v>2375</v>
      </c>
      <c r="D59" s="56" t="s">
        <v>32</v>
      </c>
      <c r="E59" s="56" t="s">
        <v>2376</v>
      </c>
      <c r="F59" s="56" t="s">
        <v>1839</v>
      </c>
      <c r="G59" s="56" t="s">
        <v>45</v>
      </c>
      <c r="H59" s="56">
        <v>3</v>
      </c>
      <c r="I59" s="56"/>
      <c r="J59" s="56">
        <v>0</v>
      </c>
      <c r="K59" s="56"/>
      <c r="L59" s="56"/>
      <c r="M59" s="56">
        <v>0</v>
      </c>
      <c r="N59" s="56">
        <v>0</v>
      </c>
      <c r="O59" s="56">
        <v>-1</v>
      </c>
      <c r="P59" s="56" t="s">
        <v>1045</v>
      </c>
      <c r="Q59" s="68">
        <f>IF(E59="OnGainRelic", 0, IF(OR(P59="Quest", P59="Monster", P59="Event", D59="Basic", D59="Upgrade"), -1, MIN(IFERROR(VLOOKUP(D59, Relic_Price_Config!$A$5:$E$9, 4, FALSE), 350), MAX(IFERROR(VLOOKUP(D59, Relic_Price_Config!$A$5:$E$9, 3, FALSE), 210), ROUND((IFERROR(VLOOKUP(F59, Relic_Price_Config!$G$5:$N$100, 4, FALSE), 280) + N(H59) * IFERROR(VLOOKUP(F59, Relic_Price_Config!$G$5:$N$100, 5, FALSE), 10) + ABS(N(M59)) * IFERROR(VLOOKUP(F59, Relic_Price_Config!$G$5:$N$100, 6, FALSE), 15) + IF(N(N59)&gt;1, (N(N59)-1)*10, 0)) * IFERROR(VLOOKUP(D59, Relic_Price_Config!$A$5:$E$9, 2, FALSE), 1), 0)))))</f>
        <v>-1</v>
      </c>
      <c r="R59" s="68">
        <f t="shared" si="2"/>
        <v>240</v>
      </c>
      <c r="S59" s="68">
        <f t="shared" si="3"/>
        <v>450</v>
      </c>
      <c r="T59" s="68">
        <f>IF(E59="OnGainRelic", 0, MIN(IFERROR(VLOOKUP(D59, Relic_Price_Config!$A$5:$E$9, 4, FALSE), 350), MAX(IFERROR(VLOOKUP(D59, Relic_Price_Config!$A$5:$E$9, 3, FALSE), 210), ROUND((IFERROR(VLOOKUP(F59, Relic_Price_Config!$G$5:$N$100, 4, FALSE), 280) + N(H59) * IFERROR(VLOOKUP(F59, Relic_Price_Config!$G$5:$N$100, 5, FALSE), 10) + ABS(N(M59)) * IFERROR(VLOOKUP(F59, Relic_Price_Config!$G$5:$N$100, 6, FALSE), 15) + IF(N(N59)&gt;1, (N(N59)-1)*10, 0)) * IFERROR(VLOOKUP(D59, Relic_Price_Config!$A$5:$E$9, 2, FALSE), 1), 0))))</f>
        <v>345</v>
      </c>
      <c r="U59" s="56" t="str">
        <f>IF(E59="OnGainRelic", "획득 시 즉발 (0원)", IFERROR(VLOOKUP(F59, Relic_Price_Config!$G$5:$N$100, 2, FALSE), "기타 효과"))</f>
        <v>방어 관련 [전투 부활]</v>
      </c>
    </row>
    <row r="60" spans="1:21" ht="27.6" customHeight="1">
      <c r="A60" s="56" t="s">
        <v>2377</v>
      </c>
      <c r="B60" s="57" t="s">
        <v>2378</v>
      </c>
      <c r="C60" s="57" t="s">
        <v>2379</v>
      </c>
      <c r="D60" s="56" t="s">
        <v>32</v>
      </c>
      <c r="E60" s="56" t="s">
        <v>2202</v>
      </c>
      <c r="F60" s="56" t="s">
        <v>1845</v>
      </c>
      <c r="G60" s="56" t="s">
        <v>45</v>
      </c>
      <c r="H60" s="56">
        <v>0</v>
      </c>
      <c r="I60" s="56"/>
      <c r="J60" s="56">
        <v>0</v>
      </c>
      <c r="K60" s="56" t="s">
        <v>329</v>
      </c>
      <c r="L60" s="56"/>
      <c r="M60" s="56">
        <v>0</v>
      </c>
      <c r="N60" s="56">
        <v>-1</v>
      </c>
      <c r="O60" s="56">
        <v>-1</v>
      </c>
      <c r="P60" s="56" t="s">
        <v>1045</v>
      </c>
      <c r="Q60" s="68">
        <f>IF(E60="OnGainRelic", 0, IF(OR(P60="Quest", P60="Monster", P60="Event", D60="Basic", D60="Upgrade"), -1, MIN(IFERROR(VLOOKUP(D60, Relic_Price_Config!$A$5:$E$9, 4, FALSE), 350), MAX(IFERROR(VLOOKUP(D60, Relic_Price_Config!$A$5:$E$9, 3, FALSE), 210), ROUND((IFERROR(VLOOKUP(F60, Relic_Price_Config!$G$5:$N$100, 4, FALSE), 280) + N(H60) * IFERROR(VLOOKUP(F60, Relic_Price_Config!$G$5:$N$100, 5, FALSE), 10) + ABS(N(M60)) * IFERROR(VLOOKUP(F60, Relic_Price_Config!$G$5:$N$100, 6, FALSE), 15) + IF(N(N60)&gt;1, (N(N60)-1)*10, 0)) * IFERROR(VLOOKUP(D60, Relic_Price_Config!$A$5:$E$9, 2, FALSE), 1), 0)))))</f>
        <v>-1</v>
      </c>
      <c r="R60" s="68">
        <f t="shared" si="2"/>
        <v>205</v>
      </c>
      <c r="S60" s="68">
        <f t="shared" si="3"/>
        <v>385</v>
      </c>
      <c r="T60" s="68">
        <f>IF(E60="OnGainRelic", 0, MIN(IFERROR(VLOOKUP(D60, Relic_Price_Config!$A$5:$E$9, 4, FALSE), 350), MAX(IFERROR(VLOOKUP(D60, Relic_Price_Config!$A$5:$E$9, 3, FALSE), 210), ROUND((IFERROR(VLOOKUP(F60, Relic_Price_Config!$G$5:$N$100, 4, FALSE), 280) + N(H60) * IFERROR(VLOOKUP(F60, Relic_Price_Config!$G$5:$N$100, 5, FALSE), 10) + ABS(N(M60)) * IFERROR(VLOOKUP(F60, Relic_Price_Config!$G$5:$N$100, 6, FALSE), 15) + IF(N(N60)&gt;1, (N(N60)-1)*10, 0)) * IFERROR(VLOOKUP(D60, Relic_Price_Config!$A$5:$E$9, 2, FALSE), 1), 0))))</f>
        <v>295</v>
      </c>
      <c r="U60" s="56" t="str">
        <f>IF(E60="OnGainRelic", "획득 시 즉발 (0원)", IFERROR(VLOOKUP(F60, Relic_Price_Config!$G$5:$N$100, 2, FALSE), "기타 효과"))</f>
        <v>방어 관련 [특수 불굴]</v>
      </c>
    </row>
    <row r="61" spans="1:21" ht="27.6" customHeight="1">
      <c r="A61" s="56" t="s">
        <v>2380</v>
      </c>
      <c r="B61" s="57" t="s">
        <v>2381</v>
      </c>
      <c r="C61" s="57" t="s">
        <v>2382</v>
      </c>
      <c r="D61" s="56" t="s">
        <v>32</v>
      </c>
      <c r="E61" s="56" t="s">
        <v>2114</v>
      </c>
      <c r="F61" s="56" t="s">
        <v>2082</v>
      </c>
      <c r="G61" s="56" t="s">
        <v>45</v>
      </c>
      <c r="H61" s="56">
        <v>0</v>
      </c>
      <c r="I61" s="56"/>
      <c r="J61" s="56">
        <v>0</v>
      </c>
      <c r="K61" s="56" t="s">
        <v>101</v>
      </c>
      <c r="L61" s="56"/>
      <c r="M61" s="56">
        <v>0</v>
      </c>
      <c r="N61" s="56">
        <v>-1</v>
      </c>
      <c r="O61" s="56">
        <v>-1</v>
      </c>
      <c r="P61" s="56" t="s">
        <v>92</v>
      </c>
      <c r="Q61" s="68">
        <f>IF(E61="OnGainRelic", 0, IF(OR(P61="Quest", P61="Monster", P61="Event", D61="Basic", D61="Upgrade"), -1, MIN(IFERROR(VLOOKUP(D61, Relic_Price_Config!$A$5:$E$9, 4, FALSE), 350), MAX(IFERROR(VLOOKUP(D61, Relic_Price_Config!$A$5:$E$9, 3, FALSE), 210), ROUND((IFERROR(VLOOKUP(F61, Relic_Price_Config!$G$5:$N$100, 4, FALSE), 280) + N(H61) * IFERROR(VLOOKUP(F61, Relic_Price_Config!$G$5:$N$100, 5, FALSE), 10) + ABS(N(M61)) * IFERROR(VLOOKUP(F61, Relic_Price_Config!$G$5:$N$100, 6, FALSE), 15) + IF(N(N61)&gt;1, (N(N61)-1)*10, 0)) * IFERROR(VLOOKUP(D61, Relic_Price_Config!$A$5:$E$9, 2, FALSE), 1), 0)))))</f>
        <v>-1</v>
      </c>
      <c r="R61" s="68">
        <f t="shared" si="2"/>
        <v>195</v>
      </c>
      <c r="S61" s="68">
        <f t="shared" si="3"/>
        <v>365</v>
      </c>
      <c r="T61" s="68">
        <f>IF(E61="OnGainRelic", 0, MIN(IFERROR(VLOOKUP(D61, Relic_Price_Config!$A$5:$E$9, 4, FALSE), 350), MAX(IFERROR(VLOOKUP(D61, Relic_Price_Config!$A$5:$E$9, 3, FALSE), 210), ROUND((IFERROR(VLOOKUP(F61, Relic_Price_Config!$G$5:$N$100, 4, FALSE), 280) + N(H61) * IFERROR(VLOOKUP(F61, Relic_Price_Config!$G$5:$N$100, 5, FALSE), 10) + ABS(N(M61)) * IFERROR(VLOOKUP(F61, Relic_Price_Config!$G$5:$N$100, 6, FALSE), 15) + IF(N(N61)&gt;1, (N(N61)-1)*10, 0)) * IFERROR(VLOOKUP(D61, Relic_Price_Config!$A$5:$E$9, 2, FALSE), 1), 0))))</f>
        <v>280</v>
      </c>
      <c r="U61" s="56" t="str">
        <f>IF(E61="OnGainRelic", "획득 시 즉발 (0원)", IFERROR(VLOOKUP(F61, Relic_Price_Config!$G$5:$N$100, 2, FALSE), "기타 효과"))</f>
        <v>방어 관련 [체술: 회피 피해 경감]</v>
      </c>
    </row>
    <row r="62" spans="1:21" ht="27.6" customHeight="1">
      <c r="A62" s="56" t="s">
        <v>2383</v>
      </c>
      <c r="B62" s="57" t="s">
        <v>2384</v>
      </c>
      <c r="C62" s="57" t="s">
        <v>2385</v>
      </c>
      <c r="D62" s="56" t="s">
        <v>1716</v>
      </c>
      <c r="E62" s="56" t="s">
        <v>2202</v>
      </c>
      <c r="F62" s="56" t="s">
        <v>2082</v>
      </c>
      <c r="G62" s="56" t="s">
        <v>45</v>
      </c>
      <c r="H62" s="56">
        <v>1</v>
      </c>
      <c r="I62" s="56"/>
      <c r="J62" s="56">
        <v>0</v>
      </c>
      <c r="K62" s="56" t="s">
        <v>101</v>
      </c>
      <c r="L62" s="56"/>
      <c r="M62" s="56">
        <v>1</v>
      </c>
      <c r="N62" s="56">
        <v>-1</v>
      </c>
      <c r="O62" s="56">
        <v>-1</v>
      </c>
      <c r="P62" s="56" t="s">
        <v>92</v>
      </c>
      <c r="Q62" s="68">
        <f>IF(E62="OnGainRelic", 0, IF(OR(P62="Quest", P62="Monster", P62="Event", D62="Basic", D62="Upgrade"), -1, MIN(IFERROR(VLOOKUP(D62, Relic_Price_Config!$A$5:$E$9, 4, FALSE), 350), MAX(IFERROR(VLOOKUP(D62, Relic_Price_Config!$A$5:$E$9, 3, FALSE), 210), ROUND((IFERROR(VLOOKUP(F62, Relic_Price_Config!$G$5:$N$100, 4, FALSE), 280) + N(H62) * IFERROR(VLOOKUP(F62, Relic_Price_Config!$G$5:$N$100, 5, FALSE), 10) + ABS(N(M62)) * IFERROR(VLOOKUP(F62, Relic_Price_Config!$G$5:$N$100, 6, FALSE), 15) + IF(N(N62)&gt;1, (N(N62)-1)*10, 0)) * IFERROR(VLOOKUP(D62, Relic_Price_Config!$A$5:$E$9, 2, FALSE), 1), 0)))))</f>
        <v>-1</v>
      </c>
      <c r="R62" s="68">
        <f t="shared" si="2"/>
        <v>315</v>
      </c>
      <c r="S62" s="68">
        <f t="shared" si="3"/>
        <v>585</v>
      </c>
      <c r="T62" s="68">
        <f>IF(E62="OnGainRelic", 0, MIN(IFERROR(VLOOKUP(D62, Relic_Price_Config!$A$5:$E$9, 4, FALSE), 350), MAX(IFERROR(VLOOKUP(D62, Relic_Price_Config!$A$5:$E$9, 3, FALSE), 210), ROUND((IFERROR(VLOOKUP(F62, Relic_Price_Config!$G$5:$N$100, 4, FALSE), 280) + N(H62) * IFERROR(VLOOKUP(F62, Relic_Price_Config!$G$5:$N$100, 5, FALSE), 10) + ABS(N(M62)) * IFERROR(VLOOKUP(F62, Relic_Price_Config!$G$5:$N$100, 6, FALSE), 15) + IF(N(N62)&gt;1, (N(N62)-1)*10, 0)) * IFERROR(VLOOKUP(D62, Relic_Price_Config!$A$5:$E$9, 2, FALSE), 1), 0))))</f>
        <v>450</v>
      </c>
      <c r="U62" s="56" t="str">
        <f>IF(E62="OnGainRelic", "획득 시 즉발 (0원)", IFERROR(VLOOKUP(F62, Relic_Price_Config!$G$5:$N$100, 2, FALSE), "기타 효과"))</f>
        <v>방어 관련 [체술: 회피 피해 경감]</v>
      </c>
    </row>
    <row r="63" spans="1:21" ht="27.6" customHeight="1">
      <c r="A63" s="56" t="s">
        <v>2386</v>
      </c>
      <c r="B63" s="57" t="s">
        <v>2387</v>
      </c>
      <c r="C63" s="57" t="s">
        <v>2388</v>
      </c>
      <c r="D63" s="56" t="s">
        <v>34</v>
      </c>
      <c r="E63" s="56" t="s">
        <v>2212</v>
      </c>
      <c r="F63" s="56" t="s">
        <v>1717</v>
      </c>
      <c r="G63" s="56" t="s">
        <v>36</v>
      </c>
      <c r="H63" s="56">
        <v>0</v>
      </c>
      <c r="I63" s="56"/>
      <c r="J63" s="56">
        <v>0</v>
      </c>
      <c r="K63" s="56" t="s">
        <v>109</v>
      </c>
      <c r="L63" s="56"/>
      <c r="M63" s="56">
        <v>1</v>
      </c>
      <c r="N63" s="56">
        <v>2</v>
      </c>
      <c r="O63" s="56">
        <v>-1</v>
      </c>
      <c r="P63" s="56" t="s">
        <v>92</v>
      </c>
      <c r="Q63" s="68">
        <f>IF(E63="OnGainRelic", 0, IF(OR(P63="Quest", P63="Monster", P63="Event", D63="Basic", D63="Upgrade"), -1, MIN(IFERROR(VLOOKUP(D63, Relic_Price_Config!$A$5:$E$9, 4, FALSE), 350), MAX(IFERROR(VLOOKUP(D63, Relic_Price_Config!$A$5:$E$9, 3, FALSE), 210), ROUND((IFERROR(VLOOKUP(F63, Relic_Price_Config!$G$5:$N$100, 4, FALSE), 280) + N(H63) * IFERROR(VLOOKUP(F63, Relic_Price_Config!$G$5:$N$100, 5, FALSE), 10) + ABS(N(M63)) * IFERROR(VLOOKUP(F63, Relic_Price_Config!$G$5:$N$100, 6, FALSE), 15) + IF(N(N63)&gt;1, (N(N63)-1)*10, 0)) * IFERROR(VLOOKUP(D63, Relic_Price_Config!$A$5:$E$9, 2, FALSE), 1), 0)))))</f>
        <v>300</v>
      </c>
      <c r="R63" s="68">
        <f t="shared" si="2"/>
        <v>210</v>
      </c>
      <c r="S63" s="68">
        <f t="shared" si="3"/>
        <v>390</v>
      </c>
      <c r="T63" s="68">
        <f>IF(E63="OnGainRelic", 0, MIN(IFERROR(VLOOKUP(D63, Relic_Price_Config!$A$5:$E$9, 4, FALSE), 350), MAX(IFERROR(VLOOKUP(D63, Relic_Price_Config!$A$5:$E$9, 3, FALSE), 210), ROUND((IFERROR(VLOOKUP(F63, Relic_Price_Config!$G$5:$N$100, 4, FALSE), 280) + N(H63) * IFERROR(VLOOKUP(F63, Relic_Price_Config!$G$5:$N$100, 5, FALSE), 10) + ABS(N(M63)) * IFERROR(VLOOKUP(F63, Relic_Price_Config!$G$5:$N$100, 6, FALSE), 15) + IF(N(N63)&gt;1, (N(N63)-1)*10, 0)) * IFERROR(VLOOKUP(D63, Relic_Price_Config!$A$5:$E$9, 2, FALSE), 1), 0))))</f>
        <v>300</v>
      </c>
      <c r="U63" s="56" t="str">
        <f>IF(E63="OnGainRelic", "획득 시 즉발 (0원)", IFERROR(VLOOKUP(F63, Relic_Price_Config!$G$5:$N$100, 2, FALSE), "기타 효과"))</f>
        <v>공격 관련 [중독 지속 피해]</v>
      </c>
    </row>
    <row r="64" spans="1:21" ht="17.25" customHeight="1">
      <c r="A64" s="56" t="s">
        <v>2389</v>
      </c>
      <c r="B64" s="57" t="s">
        <v>2390</v>
      </c>
      <c r="C64" s="57" t="s">
        <v>2391</v>
      </c>
      <c r="D64" s="56" t="s">
        <v>34</v>
      </c>
      <c r="E64" s="56" t="s">
        <v>2186</v>
      </c>
      <c r="F64" s="56" t="s">
        <v>652</v>
      </c>
      <c r="G64" s="56" t="s">
        <v>108</v>
      </c>
      <c r="H64" s="56">
        <v>3</v>
      </c>
      <c r="I64" s="56"/>
      <c r="J64" s="56">
        <v>0</v>
      </c>
      <c r="K64" s="56"/>
      <c r="L64" s="56" t="s">
        <v>51</v>
      </c>
      <c r="M64" s="56">
        <v>0</v>
      </c>
      <c r="N64" s="56">
        <v>0</v>
      </c>
      <c r="O64" s="56">
        <v>-1</v>
      </c>
      <c r="P64" s="56" t="s">
        <v>92</v>
      </c>
      <c r="Q64" s="68">
        <f>IF(E64="OnGainRelic", 0, IF(OR(P64="Quest", P64="Monster", P64="Event", D64="Basic", D64="Upgrade"), -1, MIN(IFERROR(VLOOKUP(D64, Relic_Price_Config!$A$5:$E$9, 4, FALSE), 350), MAX(IFERROR(VLOOKUP(D64, Relic_Price_Config!$A$5:$E$9, 3, FALSE), 210), ROUND((IFERROR(VLOOKUP(F64, Relic_Price_Config!$G$5:$N$100, 4, FALSE), 280) + N(H64) * IFERROR(VLOOKUP(F64, Relic_Price_Config!$G$5:$N$100, 5, FALSE), 10) + ABS(N(M64)) * IFERROR(VLOOKUP(F64, Relic_Price_Config!$G$5:$N$100, 6, FALSE), 15) + IF(N(N64)&gt;1, (N(N64)-1)*10, 0)) * IFERROR(VLOOKUP(D64, Relic_Price_Config!$A$5:$E$9, 2, FALSE), 1), 0)))))</f>
        <v>290</v>
      </c>
      <c r="R64" s="68">
        <f t="shared" si="2"/>
        <v>205</v>
      </c>
      <c r="S64" s="68">
        <f t="shared" si="3"/>
        <v>375</v>
      </c>
      <c r="T64" s="68">
        <f>IF(E64="OnGainRelic", 0, MIN(IFERROR(VLOOKUP(D64, Relic_Price_Config!$A$5:$E$9, 4, FALSE), 350), MAX(IFERROR(VLOOKUP(D64, Relic_Price_Config!$A$5:$E$9, 3, FALSE), 210), ROUND((IFERROR(VLOOKUP(F64, Relic_Price_Config!$G$5:$N$100, 4, FALSE), 280) + N(H64) * IFERROR(VLOOKUP(F64, Relic_Price_Config!$G$5:$N$100, 5, FALSE), 10) + ABS(N(M64)) * IFERROR(VLOOKUP(F64, Relic_Price_Config!$G$5:$N$100, 6, FALSE), 15) + IF(N(N64)&gt;1, (N(N64)-1)*10, 0)) * IFERROR(VLOOKUP(D64, Relic_Price_Config!$A$5:$E$9, 2, FALSE), 1), 0))))</f>
        <v>290</v>
      </c>
      <c r="U64" s="56" t="str">
        <f>IF(E64="OnGainRelic", "획득 시 즉발 (0원)", IFERROR(VLOOKUP(F64, Relic_Price_Config!$G$5:$N$100, 2, FALSE), "기타 효과"))</f>
        <v>광역 피해 [전체 데미지]</v>
      </c>
    </row>
    <row r="65" spans="1:21" ht="27.6" customHeight="1">
      <c r="A65" s="56" t="s">
        <v>2392</v>
      </c>
      <c r="B65" s="57" t="s">
        <v>2393</v>
      </c>
      <c r="C65" s="57" t="s">
        <v>2394</v>
      </c>
      <c r="D65" s="56" t="s">
        <v>34</v>
      </c>
      <c r="E65" s="56" t="s">
        <v>2202</v>
      </c>
      <c r="F65" s="56" t="s">
        <v>100</v>
      </c>
      <c r="G65" s="56" t="s">
        <v>45</v>
      </c>
      <c r="H65" s="56">
        <v>0</v>
      </c>
      <c r="I65" s="56"/>
      <c r="J65" s="56">
        <v>0</v>
      </c>
      <c r="K65" s="56" t="s">
        <v>101</v>
      </c>
      <c r="L65" s="56"/>
      <c r="M65" s="56">
        <v>1</v>
      </c>
      <c r="N65" s="56">
        <v>2</v>
      </c>
      <c r="O65" s="56">
        <v>-1</v>
      </c>
      <c r="P65" s="56" t="s">
        <v>92</v>
      </c>
      <c r="Q65" s="68">
        <f>IF(E65="OnGainRelic", 0, IF(OR(P65="Quest", P65="Monster", P65="Event", D65="Basic", D65="Upgrade"), -1, MIN(IFERROR(VLOOKUP(D65, Relic_Price_Config!$A$5:$E$9, 4, FALSE), 350), MAX(IFERROR(VLOOKUP(D65, Relic_Price_Config!$A$5:$E$9, 3, FALSE), 210), ROUND((IFERROR(VLOOKUP(F65, Relic_Price_Config!$G$5:$N$100, 4, FALSE), 280) + N(H65) * IFERROR(VLOOKUP(F65, Relic_Price_Config!$G$5:$N$100, 5, FALSE), 10) + ABS(N(M65)) * IFERROR(VLOOKUP(F65, Relic_Price_Config!$G$5:$N$100, 6, FALSE), 15) + IF(N(N65)&gt;1, (N(N65)-1)*10, 0)) * IFERROR(VLOOKUP(D65, Relic_Price_Config!$A$5:$E$9, 2, FALSE), 1), 0)))))</f>
        <v>320</v>
      </c>
      <c r="R65" s="68">
        <f t="shared" si="2"/>
        <v>225</v>
      </c>
      <c r="S65" s="68">
        <f t="shared" si="3"/>
        <v>415</v>
      </c>
      <c r="T65" s="68">
        <f>IF(E65="OnGainRelic", 0, MIN(IFERROR(VLOOKUP(D65, Relic_Price_Config!$A$5:$E$9, 4, FALSE), 350), MAX(IFERROR(VLOOKUP(D65, Relic_Price_Config!$A$5:$E$9, 3, FALSE), 210), ROUND((IFERROR(VLOOKUP(F65, Relic_Price_Config!$G$5:$N$100, 4, FALSE), 280) + N(H65) * IFERROR(VLOOKUP(F65, Relic_Price_Config!$G$5:$N$100, 5, FALSE), 10) + ABS(N(M65)) * IFERROR(VLOOKUP(F65, Relic_Price_Config!$G$5:$N$100, 6, FALSE), 15) + IF(N(N65)&gt;1, (N(N65)-1)*10, 0)) * IFERROR(VLOOKUP(D65, Relic_Price_Config!$A$5:$E$9, 2, FALSE), 1), 0))))</f>
        <v>320</v>
      </c>
      <c r="U65" s="56" t="str">
        <f>IF(E65="OnGainRelic", "획득 시 즉발 (0원)", IFERROR(VLOOKUP(F65, Relic_Price_Config!$G$5:$N$100, 2, FALSE), "기타 효과"))</f>
        <v>방어 관련 [회피율 증가]</v>
      </c>
    </row>
    <row r="66" spans="1:21" ht="17.25" customHeight="1">
      <c r="A66" s="56" t="s">
        <v>2395</v>
      </c>
      <c r="B66" s="57" t="s">
        <v>2396</v>
      </c>
      <c r="C66" s="57" t="s">
        <v>2397</v>
      </c>
      <c r="D66" s="56" t="s">
        <v>34</v>
      </c>
      <c r="E66" s="56" t="s">
        <v>2202</v>
      </c>
      <c r="F66" s="56" t="s">
        <v>1520</v>
      </c>
      <c r="G66" s="56" t="s">
        <v>45</v>
      </c>
      <c r="H66" s="56">
        <v>0</v>
      </c>
      <c r="I66" s="56"/>
      <c r="J66" s="56">
        <v>0</v>
      </c>
      <c r="K66" s="56" t="s">
        <v>53</v>
      </c>
      <c r="L66" s="56"/>
      <c r="M66" s="56">
        <v>2</v>
      </c>
      <c r="N66" s="56">
        <v>1</v>
      </c>
      <c r="O66" s="56">
        <v>-1</v>
      </c>
      <c r="P66" s="56" t="s">
        <v>92</v>
      </c>
      <c r="Q66" s="68">
        <f>IF(E66="OnGainRelic", 0, IF(OR(P66="Quest", P66="Monster", P66="Event", D66="Basic", D66="Upgrade"), -1, MIN(IFERROR(VLOOKUP(D66, Relic_Price_Config!$A$5:$E$9, 4, FALSE), 350), MAX(IFERROR(VLOOKUP(D66, Relic_Price_Config!$A$5:$E$9, 3, FALSE), 210), ROUND((IFERROR(VLOOKUP(F66, Relic_Price_Config!$G$5:$N$100, 4, FALSE), 280) + N(H66) * IFERROR(VLOOKUP(F66, Relic_Price_Config!$G$5:$N$100, 5, FALSE), 10) + ABS(N(M66)) * IFERROR(VLOOKUP(F66, Relic_Price_Config!$G$5:$N$100, 6, FALSE), 15) + IF(N(N66)&gt;1, (N(N66)-1)*10, 0)) * IFERROR(VLOOKUP(D66, Relic_Price_Config!$A$5:$E$9, 2, FALSE), 1), 0)))))</f>
        <v>320</v>
      </c>
      <c r="R66" s="68">
        <f t="shared" si="2"/>
        <v>225</v>
      </c>
      <c r="S66" s="68">
        <f t="shared" si="3"/>
        <v>415</v>
      </c>
      <c r="T66" s="68">
        <f>IF(E66="OnGainRelic", 0, MIN(IFERROR(VLOOKUP(D66, Relic_Price_Config!$A$5:$E$9, 4, FALSE), 350), MAX(IFERROR(VLOOKUP(D66, Relic_Price_Config!$A$5:$E$9, 3, FALSE), 210), ROUND((IFERROR(VLOOKUP(F66, Relic_Price_Config!$G$5:$N$100, 4, FALSE), 280) + N(H66) * IFERROR(VLOOKUP(F66, Relic_Price_Config!$G$5:$N$100, 5, FALSE), 10) + ABS(N(M66)) * IFERROR(VLOOKUP(F66, Relic_Price_Config!$G$5:$N$100, 6, FALSE), 15) + IF(N(N66)&gt;1, (N(N66)-1)*10, 0)) * IFERROR(VLOOKUP(D66, Relic_Price_Config!$A$5:$E$9, 2, FALSE), 1), 0))))</f>
        <v>320</v>
      </c>
      <c r="U66" s="56" t="str">
        <f>IF(E66="OnGainRelic", "획득 시 즉발 (0원)", IFERROR(VLOOKUP(F66, Relic_Price_Config!$G$5:$N$100, 2, FALSE), "기타 효과"))</f>
        <v>방어 관련 [반격 부여]</v>
      </c>
    </row>
    <row r="67" spans="1:21" ht="27.6" customHeight="1">
      <c r="A67" s="56" t="s">
        <v>2398</v>
      </c>
      <c r="B67" s="57" t="s">
        <v>2399</v>
      </c>
      <c r="C67" s="57" t="s">
        <v>2400</v>
      </c>
      <c r="D67" s="56" t="s">
        <v>208</v>
      </c>
      <c r="E67" s="56" t="s">
        <v>2331</v>
      </c>
      <c r="F67" s="56" t="s">
        <v>1751</v>
      </c>
      <c r="G67" s="56" t="s">
        <v>108</v>
      </c>
      <c r="H67" s="56">
        <v>0</v>
      </c>
      <c r="I67" s="56"/>
      <c r="J67" s="56">
        <v>0</v>
      </c>
      <c r="K67" s="56" t="s">
        <v>109</v>
      </c>
      <c r="L67" s="56"/>
      <c r="M67" s="56">
        <v>2</v>
      </c>
      <c r="N67" s="56">
        <v>2</v>
      </c>
      <c r="O67" s="56">
        <v>-1</v>
      </c>
      <c r="P67" s="56" t="s">
        <v>92</v>
      </c>
      <c r="Q67" s="68">
        <f>IF(E67="OnGainRelic", 0, IF(OR(P67="Quest", P67="Monster", P67="Event", D67="Basic", D67="Upgrade"), -1, MIN(IFERROR(VLOOKUP(D67, Relic_Price_Config!$A$5:$E$9, 4, FALSE), 350), MAX(IFERROR(VLOOKUP(D67, Relic_Price_Config!$A$5:$E$9, 3, FALSE), 210), ROUND((IFERROR(VLOOKUP(F67, Relic_Price_Config!$G$5:$N$100, 4, FALSE), 280) + N(H67) * IFERROR(VLOOKUP(F67, Relic_Price_Config!$G$5:$N$100, 5, FALSE), 10) + ABS(N(M67)) * IFERROR(VLOOKUP(F67, Relic_Price_Config!$G$5:$N$100, 6, FALSE), 15) + IF(N(N67)&gt;1, (N(N67)-1)*10, 0)) * IFERROR(VLOOKUP(D67, Relic_Price_Config!$A$5:$E$9, 2, FALSE), 1), 0)))))</f>
        <v>495</v>
      </c>
      <c r="R67" s="68">
        <f t="shared" si="2"/>
        <v>345</v>
      </c>
      <c r="S67" s="68">
        <f t="shared" si="3"/>
        <v>645</v>
      </c>
      <c r="T67" s="68">
        <f>IF(E67="OnGainRelic", 0, MIN(IFERROR(VLOOKUP(D67, Relic_Price_Config!$A$5:$E$9, 4, FALSE), 350), MAX(IFERROR(VLOOKUP(D67, Relic_Price_Config!$A$5:$E$9, 3, FALSE), 210), ROUND((IFERROR(VLOOKUP(F67, Relic_Price_Config!$G$5:$N$100, 4, FALSE), 280) + N(H67) * IFERROR(VLOOKUP(F67, Relic_Price_Config!$G$5:$N$100, 5, FALSE), 10) + ABS(N(M67)) * IFERROR(VLOOKUP(F67, Relic_Price_Config!$G$5:$N$100, 6, FALSE), 15) + IF(N(N67)&gt;1, (N(N67)-1)*10, 0)) * IFERROR(VLOOKUP(D67, Relic_Price_Config!$A$5:$E$9, 2, FALSE), 1), 0))))</f>
        <v>495</v>
      </c>
      <c r="U67" s="56" t="str">
        <f>IF(E67="OnGainRelic", "획득 시 즉발 (0원)", IFERROR(VLOOKUP(F67, Relic_Price_Config!$G$5:$N$100, 2, FALSE), "기타 효과"))</f>
        <v>공격 관련 [적 전체 중독 부여]</v>
      </c>
    </row>
    <row r="68" spans="1:21" ht="27.6" customHeight="1">
      <c r="A68" s="56" t="s">
        <v>2401</v>
      </c>
      <c r="B68" s="57" t="s">
        <v>2402</v>
      </c>
      <c r="C68" s="57" t="s">
        <v>2403</v>
      </c>
      <c r="D68" s="56" t="s">
        <v>208</v>
      </c>
      <c r="E68" s="56" t="s">
        <v>2212</v>
      </c>
      <c r="F68" s="56" t="s">
        <v>77</v>
      </c>
      <c r="G68" s="56" t="s">
        <v>36</v>
      </c>
      <c r="H68" s="56">
        <v>2</v>
      </c>
      <c r="I68" s="56"/>
      <c r="J68" s="56">
        <v>0</v>
      </c>
      <c r="K68" s="56"/>
      <c r="L68" s="56"/>
      <c r="M68" s="56">
        <v>0</v>
      </c>
      <c r="N68" s="56">
        <v>0</v>
      </c>
      <c r="O68" s="56">
        <v>-1</v>
      </c>
      <c r="P68" s="56" t="s">
        <v>92</v>
      </c>
      <c r="Q68" s="68">
        <f>IF(E68="OnGainRelic", 0, IF(OR(P68="Quest", P68="Monster", P68="Event", D68="Basic", D68="Upgrade"), -1, MIN(IFERROR(VLOOKUP(D68, Relic_Price_Config!$A$5:$E$9, 4, FALSE), 350), MAX(IFERROR(VLOOKUP(D68, Relic_Price_Config!$A$5:$E$9, 3, FALSE), 210), ROUND((IFERROR(VLOOKUP(F68, Relic_Price_Config!$G$5:$N$100, 4, FALSE), 280) + N(H68) * IFERROR(VLOOKUP(F68, Relic_Price_Config!$G$5:$N$100, 5, FALSE), 10) + ABS(N(M68)) * IFERROR(VLOOKUP(F68, Relic_Price_Config!$G$5:$N$100, 6, FALSE), 15) + IF(N(N68)&gt;1, (N(N68)-1)*10, 0)) * IFERROR(VLOOKUP(D68, Relic_Price_Config!$A$5:$E$9, 2, FALSE), 1), 0)))))</f>
        <v>399</v>
      </c>
      <c r="R68" s="68">
        <f t="shared" ref="R68:R99" si="4">IF(OR(E68="OnGainRelic", O68&gt;0), 0, ROUND((IF(Q68&gt;0, Q68, T68)*0.7)/5, 0)*5)</f>
        <v>280</v>
      </c>
      <c r="S68" s="68">
        <f t="shared" ref="S68:S99" si="5">IF(OR(E68="OnGainRelic", O68&gt;0), 0, ROUND((IF(Q68&gt;0, Q68, T68)*1.3)/5, 0)*5)</f>
        <v>520</v>
      </c>
      <c r="T68" s="68">
        <f>IF(E68="OnGainRelic", 0, MIN(IFERROR(VLOOKUP(D68, Relic_Price_Config!$A$5:$E$9, 4, FALSE), 350), MAX(IFERROR(VLOOKUP(D68, Relic_Price_Config!$A$5:$E$9, 3, FALSE), 210), ROUND((IFERROR(VLOOKUP(F68, Relic_Price_Config!$G$5:$N$100, 4, FALSE), 280) + N(H68) * IFERROR(VLOOKUP(F68, Relic_Price_Config!$G$5:$N$100, 5, FALSE), 10) + ABS(N(M68)) * IFERROR(VLOOKUP(F68, Relic_Price_Config!$G$5:$N$100, 6, FALSE), 15) + IF(N(N68)&gt;1, (N(N68)-1)*10, 0)) * IFERROR(VLOOKUP(D68, Relic_Price_Config!$A$5:$E$9, 2, FALSE), 1), 0))))</f>
        <v>399</v>
      </c>
      <c r="U68" s="56" t="str">
        <f>IF(E68="OnGainRelic", "획득 시 즉발 (0원)", IFERROR(VLOOKUP(F68, Relic_Price_Config!$G$5:$N$100, 2, FALSE), "기타 효과"))</f>
        <v>단일 공격 [기본 피해]</v>
      </c>
    </row>
    <row r="69" spans="1:21" ht="27.6" customHeight="1">
      <c r="A69" s="56" t="s">
        <v>2404</v>
      </c>
      <c r="B69" s="57" t="s">
        <v>2405</v>
      </c>
      <c r="C69" s="57" t="s">
        <v>2406</v>
      </c>
      <c r="D69" s="56" t="s">
        <v>208</v>
      </c>
      <c r="E69" s="56" t="s">
        <v>2331</v>
      </c>
      <c r="F69" s="56" t="s">
        <v>100</v>
      </c>
      <c r="G69" s="56" t="s">
        <v>45</v>
      </c>
      <c r="H69" s="56">
        <v>0</v>
      </c>
      <c r="I69" s="56"/>
      <c r="J69" s="56">
        <v>0</v>
      </c>
      <c r="K69" s="56" t="s">
        <v>101</v>
      </c>
      <c r="L69" s="56"/>
      <c r="M69" s="56">
        <v>1</v>
      </c>
      <c r="N69" s="56">
        <v>1</v>
      </c>
      <c r="O69" s="56">
        <v>-1</v>
      </c>
      <c r="P69" s="56" t="s">
        <v>92</v>
      </c>
      <c r="Q69" s="68">
        <f>IF(E69="OnGainRelic", 0, IF(OR(P69="Quest", P69="Monster", P69="Event", D69="Basic", D69="Upgrade"), -1, MIN(IFERROR(VLOOKUP(D69, Relic_Price_Config!$A$5:$E$9, 4, FALSE), 350), MAX(IFERROR(VLOOKUP(D69, Relic_Price_Config!$A$5:$E$9, 3, FALSE), 210), ROUND((IFERROR(VLOOKUP(F69, Relic_Price_Config!$G$5:$N$100, 4, FALSE), 280) + N(H69) * IFERROR(VLOOKUP(F69, Relic_Price_Config!$G$5:$N$100, 5, FALSE), 10) + ABS(N(M69)) * IFERROR(VLOOKUP(F69, Relic_Price_Config!$G$5:$N$100, 6, FALSE), 15) + IF(N(N69)&gt;1, (N(N69)-1)*10, 0)) * IFERROR(VLOOKUP(D69, Relic_Price_Config!$A$5:$E$9, 2, FALSE), 1), 0)))))</f>
        <v>465</v>
      </c>
      <c r="R69" s="68">
        <f t="shared" si="4"/>
        <v>325</v>
      </c>
      <c r="S69" s="68">
        <f t="shared" si="5"/>
        <v>605</v>
      </c>
      <c r="T69" s="68">
        <f>IF(E69="OnGainRelic", 0, MIN(IFERROR(VLOOKUP(D69, Relic_Price_Config!$A$5:$E$9, 4, FALSE), 350), MAX(IFERROR(VLOOKUP(D69, Relic_Price_Config!$A$5:$E$9, 3, FALSE), 210), ROUND((IFERROR(VLOOKUP(F69, Relic_Price_Config!$G$5:$N$100, 4, FALSE), 280) + N(H69) * IFERROR(VLOOKUP(F69, Relic_Price_Config!$G$5:$N$100, 5, FALSE), 10) + ABS(N(M69)) * IFERROR(VLOOKUP(F69, Relic_Price_Config!$G$5:$N$100, 6, FALSE), 15) + IF(N(N69)&gt;1, (N(N69)-1)*10, 0)) * IFERROR(VLOOKUP(D69, Relic_Price_Config!$A$5:$E$9, 2, FALSE), 1), 0))))</f>
        <v>465</v>
      </c>
      <c r="U69" s="56" t="str">
        <f>IF(E69="OnGainRelic", "획득 시 즉발 (0원)", IFERROR(VLOOKUP(F69, Relic_Price_Config!$G$5:$N$100, 2, FALSE), "기타 효과"))</f>
        <v>방어 관련 [회피율 증가]</v>
      </c>
    </row>
    <row r="70" spans="1:21" ht="27.6" customHeight="1">
      <c r="A70" s="56" t="s">
        <v>2407</v>
      </c>
      <c r="B70" s="57" t="s">
        <v>2408</v>
      </c>
      <c r="C70" s="57" t="s">
        <v>2409</v>
      </c>
      <c r="D70" s="56" t="s">
        <v>208</v>
      </c>
      <c r="E70" s="56" t="s">
        <v>2310</v>
      </c>
      <c r="F70" s="56" t="s">
        <v>418</v>
      </c>
      <c r="G70" s="56" t="s">
        <v>108</v>
      </c>
      <c r="H70" s="56">
        <v>0</v>
      </c>
      <c r="I70" s="56"/>
      <c r="J70" s="56">
        <v>0</v>
      </c>
      <c r="K70" s="56" t="s">
        <v>94</v>
      </c>
      <c r="L70" s="56"/>
      <c r="M70" s="56">
        <v>1</v>
      </c>
      <c r="N70" s="56">
        <v>1</v>
      </c>
      <c r="O70" s="56">
        <v>-1</v>
      </c>
      <c r="P70" s="56" t="s">
        <v>92</v>
      </c>
      <c r="Q70" s="68">
        <f>IF(E70="OnGainRelic", 0, IF(OR(P70="Quest", P70="Monster", P70="Event", D70="Basic", D70="Upgrade"), -1, MIN(IFERROR(VLOOKUP(D70, Relic_Price_Config!$A$5:$E$9, 4, FALSE), 350), MAX(IFERROR(VLOOKUP(D70, Relic_Price_Config!$A$5:$E$9, 3, FALSE), 210), ROUND((IFERROR(VLOOKUP(F70, Relic_Price_Config!$G$5:$N$100, 4, FALSE), 280) + N(H70) * IFERROR(VLOOKUP(F70, Relic_Price_Config!$G$5:$N$100, 5, FALSE), 10) + ABS(N(M70)) * IFERROR(VLOOKUP(F70, Relic_Price_Config!$G$5:$N$100, 6, FALSE), 15) + IF(N(N70)&gt;1, (N(N70)-1)*10, 0)) * IFERROR(VLOOKUP(D70, Relic_Price_Config!$A$5:$E$9, 2, FALSE), 1), 0)))))</f>
        <v>465</v>
      </c>
      <c r="R70" s="68">
        <f t="shared" si="4"/>
        <v>325</v>
      </c>
      <c r="S70" s="68">
        <f t="shared" si="5"/>
        <v>605</v>
      </c>
      <c r="T70" s="68">
        <f>IF(E70="OnGainRelic", 0, MIN(IFERROR(VLOOKUP(D70, Relic_Price_Config!$A$5:$E$9, 4, FALSE), 350), MAX(IFERROR(VLOOKUP(D70, Relic_Price_Config!$A$5:$E$9, 3, FALSE), 210), ROUND((IFERROR(VLOOKUP(F70, Relic_Price_Config!$G$5:$N$100, 4, FALSE), 280) + N(H70) * IFERROR(VLOOKUP(F70, Relic_Price_Config!$G$5:$N$100, 5, FALSE), 10) + ABS(N(M70)) * IFERROR(VLOOKUP(F70, Relic_Price_Config!$G$5:$N$100, 6, FALSE), 15) + IF(N(N70)&gt;1, (N(N70)-1)*10, 0)) * IFERROR(VLOOKUP(D70, Relic_Price_Config!$A$5:$E$9, 2, FALSE), 1), 0))))</f>
        <v>465</v>
      </c>
      <c r="U70" s="56" t="str">
        <f>IF(E70="OnGainRelic", "획득 시 즉발 (0원)", IFERROR(VLOOKUP(F70, Relic_Price_Config!$G$5:$N$100, 2, FALSE), "기타 효과"))</f>
        <v>공격 증가 [적 받는 피해 증가]</v>
      </c>
    </row>
    <row r="71" spans="1:21" ht="34.799999999999997" customHeight="1">
      <c r="A71" s="56" t="s">
        <v>2410</v>
      </c>
      <c r="B71" s="57" t="s">
        <v>2411</v>
      </c>
      <c r="C71" s="57" t="s">
        <v>2412</v>
      </c>
      <c r="D71" s="56" t="s">
        <v>295</v>
      </c>
      <c r="E71" s="56" t="s">
        <v>2125</v>
      </c>
      <c r="F71" s="56" t="s">
        <v>1751</v>
      </c>
      <c r="G71" s="56" t="s">
        <v>108</v>
      </c>
      <c r="H71" s="56">
        <v>0</v>
      </c>
      <c r="I71" s="56"/>
      <c r="J71" s="56">
        <v>0</v>
      </c>
      <c r="K71" s="56" t="s">
        <v>109</v>
      </c>
      <c r="L71" s="56"/>
      <c r="M71" s="56">
        <v>3</v>
      </c>
      <c r="N71" s="56">
        <v>2</v>
      </c>
      <c r="O71" s="56">
        <v>-1</v>
      </c>
      <c r="P71" s="56" t="s">
        <v>92</v>
      </c>
      <c r="Q71" s="68">
        <f>IF(E71="OnGainRelic", 0, IF(OR(P71="Quest", P71="Monster", P71="Event", D71="Basic", D71="Upgrade"), -1, MIN(IFERROR(VLOOKUP(D71, Relic_Price_Config!$A$5:$E$9, 4, FALSE), 350), MAX(IFERROR(VLOOKUP(D71, Relic_Price_Config!$A$5:$E$9, 3, FALSE), 210), ROUND((IFERROR(VLOOKUP(F71, Relic_Price_Config!$G$5:$N$100, 4, FALSE), 280) + N(H71) * IFERROR(VLOOKUP(F71, Relic_Price_Config!$G$5:$N$100, 5, FALSE), 10) + ABS(N(M71)) * IFERROR(VLOOKUP(F71, Relic_Price_Config!$G$5:$N$100, 6, FALSE), 15) + IF(N(N71)&gt;1, (N(N71)-1)*10, 0)) * IFERROR(VLOOKUP(D71, Relic_Price_Config!$A$5:$E$9, 2, FALSE), 1), 0)))))</f>
        <v>700</v>
      </c>
      <c r="R71" s="68">
        <f t="shared" si="4"/>
        <v>490</v>
      </c>
      <c r="S71" s="68">
        <f t="shared" si="5"/>
        <v>910</v>
      </c>
      <c r="T71" s="68">
        <f>IF(E71="OnGainRelic", 0, MIN(IFERROR(VLOOKUP(D71, Relic_Price_Config!$A$5:$E$9, 4, FALSE), 350), MAX(IFERROR(VLOOKUP(D71, Relic_Price_Config!$A$5:$E$9, 3, FALSE), 210), ROUND((IFERROR(VLOOKUP(F71, Relic_Price_Config!$G$5:$N$100, 4, FALSE), 280) + N(H71) * IFERROR(VLOOKUP(F71, Relic_Price_Config!$G$5:$N$100, 5, FALSE), 10) + ABS(N(M71)) * IFERROR(VLOOKUP(F71, Relic_Price_Config!$G$5:$N$100, 6, FALSE), 15) + IF(N(N71)&gt;1, (N(N71)-1)*10, 0)) * IFERROR(VLOOKUP(D71, Relic_Price_Config!$A$5:$E$9, 2, FALSE), 1), 0))))</f>
        <v>700</v>
      </c>
      <c r="U71" s="56" t="str">
        <f>IF(E71="OnGainRelic", "획득 시 즉발 (0원)", IFERROR(VLOOKUP(F71, Relic_Price_Config!$G$5:$N$100, 2, FALSE), "기타 효과"))</f>
        <v>공격 관련 [적 전체 중독 부여]</v>
      </c>
    </row>
    <row r="72" spans="1:21" ht="27.6" customHeight="1">
      <c r="A72" s="56" t="s">
        <v>2413</v>
      </c>
      <c r="B72" s="57" t="s">
        <v>2414</v>
      </c>
      <c r="C72" s="57" t="s">
        <v>2415</v>
      </c>
      <c r="D72" s="56" t="s">
        <v>295</v>
      </c>
      <c r="E72" s="56" t="s">
        <v>2212</v>
      </c>
      <c r="F72" s="56" t="s">
        <v>652</v>
      </c>
      <c r="G72" s="56" t="s">
        <v>108</v>
      </c>
      <c r="H72" s="56">
        <v>3</v>
      </c>
      <c r="I72" s="56"/>
      <c r="J72" s="56">
        <v>0</v>
      </c>
      <c r="K72" s="56"/>
      <c r="L72" s="56"/>
      <c r="M72" s="56">
        <v>0</v>
      </c>
      <c r="N72" s="56">
        <v>0</v>
      </c>
      <c r="O72" s="56">
        <v>-1</v>
      </c>
      <c r="P72" s="56" t="s">
        <v>92</v>
      </c>
      <c r="Q72" s="68">
        <f>IF(E72="OnGainRelic", 0, IF(OR(P72="Quest", P72="Monster", P72="Event", D72="Basic", D72="Upgrade"), -1, MIN(IFERROR(VLOOKUP(D72, Relic_Price_Config!$A$5:$E$9, 4, FALSE), 350), MAX(IFERROR(VLOOKUP(D72, Relic_Price_Config!$A$5:$E$9, 3, FALSE), 210), ROUND((IFERROR(VLOOKUP(F72, Relic_Price_Config!$G$5:$N$100, 4, FALSE), 280) + N(H72) * IFERROR(VLOOKUP(F72, Relic_Price_Config!$G$5:$N$100, 5, FALSE), 10) + ABS(N(M72)) * IFERROR(VLOOKUP(F72, Relic_Price_Config!$G$5:$N$100, 6, FALSE), 15) + IF(N(N72)&gt;1, (N(N72)-1)*10, 0)) * IFERROR(VLOOKUP(D72, Relic_Price_Config!$A$5:$E$9, 2, FALSE), 1), 0)))))</f>
        <v>580</v>
      </c>
      <c r="R72" s="68">
        <f t="shared" si="4"/>
        <v>405</v>
      </c>
      <c r="S72" s="68">
        <f t="shared" si="5"/>
        <v>755</v>
      </c>
      <c r="T72" s="68">
        <f>IF(E72="OnGainRelic", 0, MIN(IFERROR(VLOOKUP(D72, Relic_Price_Config!$A$5:$E$9, 4, FALSE), 350), MAX(IFERROR(VLOOKUP(D72, Relic_Price_Config!$A$5:$E$9, 3, FALSE), 210), ROUND((IFERROR(VLOOKUP(F72, Relic_Price_Config!$G$5:$N$100, 4, FALSE), 280) + N(H72) * IFERROR(VLOOKUP(F72, Relic_Price_Config!$G$5:$N$100, 5, FALSE), 10) + ABS(N(M72)) * IFERROR(VLOOKUP(F72, Relic_Price_Config!$G$5:$N$100, 6, FALSE), 15) + IF(N(N72)&gt;1, (N(N72)-1)*10, 0)) * IFERROR(VLOOKUP(D72, Relic_Price_Config!$A$5:$E$9, 2, FALSE), 1), 0))))</f>
        <v>580</v>
      </c>
      <c r="U72" s="56" t="str">
        <f>IF(E72="OnGainRelic", "획득 시 즉발 (0원)", IFERROR(VLOOKUP(F72, Relic_Price_Config!$G$5:$N$100, 2, FALSE), "기타 효과"))</f>
        <v>광역 피해 [전체 데미지]</v>
      </c>
    </row>
    <row r="73" spans="1:21" ht="34.799999999999997" customHeight="1">
      <c r="A73" s="56" t="s">
        <v>2416</v>
      </c>
      <c r="B73" s="57" t="s">
        <v>2417</v>
      </c>
      <c r="C73" s="57" t="s">
        <v>2418</v>
      </c>
      <c r="D73" s="56" t="s">
        <v>295</v>
      </c>
      <c r="E73" s="56" t="s">
        <v>2202</v>
      </c>
      <c r="F73" s="56" t="s">
        <v>857</v>
      </c>
      <c r="G73" s="56" t="s">
        <v>45</v>
      </c>
      <c r="H73" s="56">
        <v>0</v>
      </c>
      <c r="I73" s="56"/>
      <c r="J73" s="56">
        <v>0</v>
      </c>
      <c r="K73" s="56" t="s">
        <v>71</v>
      </c>
      <c r="L73" s="56"/>
      <c r="M73" s="56">
        <v>2</v>
      </c>
      <c r="N73" s="56">
        <v>-1</v>
      </c>
      <c r="O73" s="56">
        <v>-1</v>
      </c>
      <c r="P73" s="56" t="s">
        <v>92</v>
      </c>
      <c r="Q73" s="68">
        <f>IF(E73="OnGainRelic", 0, IF(OR(P73="Quest", P73="Monster", P73="Event", D73="Basic", D73="Upgrade"), -1, MIN(IFERROR(VLOOKUP(D73, Relic_Price_Config!$A$5:$E$9, 4, FALSE), 350), MAX(IFERROR(VLOOKUP(D73, Relic_Price_Config!$A$5:$E$9, 3, FALSE), 210), ROUND((IFERROR(VLOOKUP(F73, Relic_Price_Config!$G$5:$N$100, 4, FALSE), 280) + N(H73) * IFERROR(VLOOKUP(F73, Relic_Price_Config!$G$5:$N$100, 5, FALSE), 10) + ABS(N(M73)) * IFERROR(VLOOKUP(F73, Relic_Price_Config!$G$5:$N$100, 6, FALSE), 15) + IF(N(N73)&gt;1, (N(N73)-1)*10, 0)) * IFERROR(VLOOKUP(D73, Relic_Price_Config!$A$5:$E$9, 2, FALSE), 1), 0)))))</f>
        <v>670</v>
      </c>
      <c r="R73" s="68">
        <f t="shared" si="4"/>
        <v>470</v>
      </c>
      <c r="S73" s="68">
        <f t="shared" si="5"/>
        <v>870</v>
      </c>
      <c r="T73" s="68">
        <f>IF(E73="OnGainRelic", 0, MIN(IFERROR(VLOOKUP(D73, Relic_Price_Config!$A$5:$E$9, 4, FALSE), 350), MAX(IFERROR(VLOOKUP(D73, Relic_Price_Config!$A$5:$E$9, 3, FALSE), 210), ROUND((IFERROR(VLOOKUP(F73, Relic_Price_Config!$G$5:$N$100, 4, FALSE), 280) + N(H73) * IFERROR(VLOOKUP(F73, Relic_Price_Config!$G$5:$N$100, 5, FALSE), 10) + ABS(N(M73)) * IFERROR(VLOOKUP(F73, Relic_Price_Config!$G$5:$N$100, 6, FALSE), 15) + IF(N(N73)&gt;1, (N(N73)-1)*10, 0)) * IFERROR(VLOOKUP(D73, Relic_Price_Config!$A$5:$E$9, 2, FALSE), 1), 0))))</f>
        <v>670</v>
      </c>
      <c r="U73" s="56" t="str">
        <f>IF(E73="OnGainRelic", "획득 시 즉발 (0원)", IFERROR(VLOOKUP(F73, Relic_Price_Config!$G$5:$N$100, 2, FALSE), "기타 효과"))</f>
        <v>복합 버프 [자신 회피+공격 증가]</v>
      </c>
    </row>
    <row r="74" spans="1:21" ht="17.25" customHeight="1">
      <c r="A74" s="56" t="s">
        <v>2419</v>
      </c>
      <c r="B74" s="57" t="s">
        <v>2420</v>
      </c>
      <c r="C74" s="57" t="s">
        <v>2421</v>
      </c>
      <c r="D74" s="56" t="s">
        <v>295</v>
      </c>
      <c r="E74" s="56" t="s">
        <v>2125</v>
      </c>
      <c r="F74" s="56" t="s">
        <v>2085</v>
      </c>
      <c r="G74" s="56" t="s">
        <v>108</v>
      </c>
      <c r="H74" s="56">
        <v>0</v>
      </c>
      <c r="I74" s="56"/>
      <c r="J74" s="56">
        <v>0</v>
      </c>
      <c r="K74" s="56" t="s">
        <v>94</v>
      </c>
      <c r="L74" s="56"/>
      <c r="M74" s="56">
        <v>1</v>
      </c>
      <c r="N74" s="56">
        <v>1</v>
      </c>
      <c r="O74" s="56">
        <v>-1</v>
      </c>
      <c r="P74" s="56" t="s">
        <v>92</v>
      </c>
      <c r="Q74" s="68">
        <f>IF(E74="OnGainRelic", 0, IF(OR(P74="Quest", P74="Monster", P74="Event", D74="Basic", D74="Upgrade"), -1, MIN(IFERROR(VLOOKUP(D74, Relic_Price_Config!$A$5:$E$9, 4, FALSE), 350), MAX(IFERROR(VLOOKUP(D74, Relic_Price_Config!$A$5:$E$9, 3, FALSE), 210), ROUND((IFERROR(VLOOKUP(F74, Relic_Price_Config!$G$5:$N$100, 4, FALSE), 280) + N(H74) * IFERROR(VLOOKUP(F74, Relic_Price_Config!$G$5:$N$100, 5, FALSE), 10) + ABS(N(M74)) * IFERROR(VLOOKUP(F74, Relic_Price_Config!$G$5:$N$100, 6, FALSE), 15) + IF(N(N74)&gt;1, (N(N74)-1)*10, 0)) * IFERROR(VLOOKUP(D74, Relic_Price_Config!$A$5:$E$9, 2, FALSE), 1), 0)))))</f>
        <v>640</v>
      </c>
      <c r="R74" s="68">
        <f t="shared" si="4"/>
        <v>450</v>
      </c>
      <c r="S74" s="68">
        <f t="shared" si="5"/>
        <v>830</v>
      </c>
      <c r="T74" s="68">
        <f>IF(E74="OnGainRelic", 0, MIN(IFERROR(VLOOKUP(D74, Relic_Price_Config!$A$5:$E$9, 4, FALSE), 350), MAX(IFERROR(VLOOKUP(D74, Relic_Price_Config!$A$5:$E$9, 3, FALSE), 210), ROUND((IFERROR(VLOOKUP(F74, Relic_Price_Config!$G$5:$N$100, 4, FALSE), 280) + N(H74) * IFERROR(VLOOKUP(F74, Relic_Price_Config!$G$5:$N$100, 5, FALSE), 10) + ABS(N(M74)) * IFERROR(VLOOKUP(F74, Relic_Price_Config!$G$5:$N$100, 6, FALSE), 15) + IF(N(N74)&gt;1, (N(N74)-1)*10, 0)) * IFERROR(VLOOKUP(D74, Relic_Price_Config!$A$5:$E$9, 2, FALSE), 1), 0))))</f>
        <v>640</v>
      </c>
      <c r="U74" s="56" t="str">
        <f>IF(E74="OnGainRelic", "획득 시 즉발 (0원)", IFERROR(VLOOKUP(F74, Relic_Price_Config!$G$5:$N$100, 2, FALSE), "기타 효과"))</f>
        <v>복합 디버프 [적 전체 급소+공포]</v>
      </c>
    </row>
    <row r="75" spans="1:21" ht="27.6" customHeight="1">
      <c r="A75" s="56" t="s">
        <v>2422</v>
      </c>
      <c r="B75" s="57" t="s">
        <v>2423</v>
      </c>
      <c r="C75" s="57" t="s">
        <v>2424</v>
      </c>
      <c r="D75" s="56" t="s">
        <v>32</v>
      </c>
      <c r="E75" s="56" t="s">
        <v>2212</v>
      </c>
      <c r="F75" s="56" t="s">
        <v>44</v>
      </c>
      <c r="G75" s="56" t="s">
        <v>45</v>
      </c>
      <c r="H75" s="56">
        <v>1</v>
      </c>
      <c r="I75" s="56" t="s">
        <v>46</v>
      </c>
      <c r="J75" s="56">
        <v>1</v>
      </c>
      <c r="K75" s="56"/>
      <c r="L75" s="56"/>
      <c r="M75" s="56">
        <v>0</v>
      </c>
      <c r="N75" s="56">
        <v>0</v>
      </c>
      <c r="O75" s="56">
        <v>-1</v>
      </c>
      <c r="P75" s="56" t="s">
        <v>59</v>
      </c>
      <c r="Q75" s="68">
        <f>IF(E75="OnGainRelic", 0, IF(OR(P75="Quest", P75="Monster", P75="Event", D75="Basic", D75="Upgrade"), -1, MIN(IFERROR(VLOOKUP(D75, Relic_Price_Config!$A$5:$E$9, 4, FALSE), 350), MAX(IFERROR(VLOOKUP(D75, Relic_Price_Config!$A$5:$E$9, 3, FALSE), 210), ROUND((IFERROR(VLOOKUP(F75, Relic_Price_Config!$G$5:$N$100, 4, FALSE), 280) + N(H75) * IFERROR(VLOOKUP(F75, Relic_Price_Config!$G$5:$N$100, 5, FALSE), 10) + ABS(N(M75)) * IFERROR(VLOOKUP(F75, Relic_Price_Config!$G$5:$N$100, 6, FALSE), 15) + IF(N(N75)&gt;1, (N(N75)-1)*10, 0)) * IFERROR(VLOOKUP(D75, Relic_Price_Config!$A$5:$E$9, 2, FALSE), 1), 0)))))</f>
        <v>-1</v>
      </c>
      <c r="R75" s="68">
        <f t="shared" si="4"/>
        <v>200</v>
      </c>
      <c r="S75" s="68">
        <f t="shared" si="5"/>
        <v>370</v>
      </c>
      <c r="T75" s="68">
        <f>IF(E75="OnGainRelic", 0, MIN(IFERROR(VLOOKUP(D75, Relic_Price_Config!$A$5:$E$9, 4, FALSE), 350), MAX(IFERROR(VLOOKUP(D75, Relic_Price_Config!$A$5:$E$9, 3, FALSE), 210), ROUND((IFERROR(VLOOKUP(F75, Relic_Price_Config!$G$5:$N$100, 4, FALSE), 280) + N(H75) * IFERROR(VLOOKUP(F75, Relic_Price_Config!$G$5:$N$100, 5, FALSE), 10) + ABS(N(M75)) * IFERROR(VLOOKUP(F75, Relic_Price_Config!$G$5:$N$100, 6, FALSE), 15) + IF(N(N75)&gt;1, (N(N75)-1)*10, 0)) * IFERROR(VLOOKUP(D75, Relic_Price_Config!$A$5:$E$9, 2, FALSE), 1), 0))))</f>
        <v>285</v>
      </c>
      <c r="U75" s="56" t="str">
        <f>IF(E75="OnGainRelic", "획득 시 즉발 (0원)", IFERROR(VLOOKUP(F75, Relic_Price_Config!$G$5:$N$100, 2, FALSE), "기타 효과"))</f>
        <v>방어 관련 [보호막 획득]</v>
      </c>
    </row>
    <row r="76" spans="1:21" ht="27.6" customHeight="1">
      <c r="A76" s="56" t="s">
        <v>2425</v>
      </c>
      <c r="B76" s="57" t="s">
        <v>2426</v>
      </c>
      <c r="C76" s="57" t="s">
        <v>2427</v>
      </c>
      <c r="D76" s="56" t="s">
        <v>1716</v>
      </c>
      <c r="E76" s="56" t="s">
        <v>2212</v>
      </c>
      <c r="F76" s="56" t="s">
        <v>44</v>
      </c>
      <c r="G76" s="56" t="s">
        <v>45</v>
      </c>
      <c r="H76" s="56">
        <v>2</v>
      </c>
      <c r="I76" s="56" t="s">
        <v>46</v>
      </c>
      <c r="J76" s="56">
        <v>1</v>
      </c>
      <c r="K76" s="56"/>
      <c r="L76" s="56"/>
      <c r="M76" s="56">
        <v>0</v>
      </c>
      <c r="N76" s="56">
        <v>0</v>
      </c>
      <c r="O76" s="56">
        <v>-1</v>
      </c>
      <c r="P76" s="56" t="s">
        <v>59</v>
      </c>
      <c r="Q76" s="68">
        <f>IF(E76="OnGainRelic", 0, IF(OR(P76="Quest", P76="Monster", P76="Event", D76="Basic", D76="Upgrade"), -1, MIN(IFERROR(VLOOKUP(D76, Relic_Price_Config!$A$5:$E$9, 4, FALSE), 350), MAX(IFERROR(VLOOKUP(D76, Relic_Price_Config!$A$5:$E$9, 3, FALSE), 210), ROUND((IFERROR(VLOOKUP(F76, Relic_Price_Config!$G$5:$N$100, 4, FALSE), 280) + N(H76) * IFERROR(VLOOKUP(F76, Relic_Price_Config!$G$5:$N$100, 5, FALSE), 10) + ABS(N(M76)) * IFERROR(VLOOKUP(F76, Relic_Price_Config!$G$5:$N$100, 6, FALSE), 15) + IF(N(N76)&gt;1, (N(N76)-1)*10, 0)) * IFERROR(VLOOKUP(D76, Relic_Price_Config!$A$5:$E$9, 2, FALSE), 1), 0)))))</f>
        <v>-1</v>
      </c>
      <c r="R76" s="68">
        <f t="shared" si="4"/>
        <v>315</v>
      </c>
      <c r="S76" s="68">
        <f t="shared" si="5"/>
        <v>585</v>
      </c>
      <c r="T76" s="68">
        <f>IF(E76="OnGainRelic", 0, MIN(IFERROR(VLOOKUP(D76, Relic_Price_Config!$A$5:$E$9, 4, FALSE), 350), MAX(IFERROR(VLOOKUP(D76, Relic_Price_Config!$A$5:$E$9, 3, FALSE), 210), ROUND((IFERROR(VLOOKUP(F76, Relic_Price_Config!$G$5:$N$100, 4, FALSE), 280) + N(H76) * IFERROR(VLOOKUP(F76, Relic_Price_Config!$G$5:$N$100, 5, FALSE), 10) + ABS(N(M76)) * IFERROR(VLOOKUP(F76, Relic_Price_Config!$G$5:$N$100, 6, FALSE), 15) + IF(N(N76)&gt;1, (N(N76)-1)*10, 0)) * IFERROR(VLOOKUP(D76, Relic_Price_Config!$A$5:$E$9, 2, FALSE), 1), 0))))</f>
        <v>450</v>
      </c>
      <c r="U76" s="56" t="str">
        <f>IF(E76="OnGainRelic", "획득 시 즉발 (0원)", IFERROR(VLOOKUP(F76, Relic_Price_Config!$G$5:$N$100, 2, FALSE), "기타 효과"))</f>
        <v>방어 관련 [보호막 획득]</v>
      </c>
    </row>
    <row r="77" spans="1:21" ht="27.6" customHeight="1">
      <c r="A77" s="56" t="s">
        <v>2428</v>
      </c>
      <c r="B77" s="57" t="s">
        <v>2429</v>
      </c>
      <c r="C77" s="57" t="s">
        <v>2430</v>
      </c>
      <c r="D77" s="56" t="s">
        <v>34</v>
      </c>
      <c r="E77" s="56" t="s">
        <v>2125</v>
      </c>
      <c r="F77" s="56" t="s">
        <v>652</v>
      </c>
      <c r="G77" s="56" t="s">
        <v>108</v>
      </c>
      <c r="H77" s="56">
        <v>2</v>
      </c>
      <c r="I77" s="56"/>
      <c r="J77" s="56">
        <v>0</v>
      </c>
      <c r="K77" s="56"/>
      <c r="L77" s="56"/>
      <c r="M77" s="56">
        <v>0</v>
      </c>
      <c r="N77" s="56">
        <v>0</v>
      </c>
      <c r="O77" s="56">
        <v>-1</v>
      </c>
      <c r="P77" s="56" t="s">
        <v>59</v>
      </c>
      <c r="Q77" s="68">
        <f>IF(E77="OnGainRelic", 0, IF(OR(P77="Quest", P77="Monster", P77="Event", D77="Basic", D77="Upgrade"), -1, MIN(IFERROR(VLOOKUP(D77, Relic_Price_Config!$A$5:$E$9, 4, FALSE), 350), MAX(IFERROR(VLOOKUP(D77, Relic_Price_Config!$A$5:$E$9, 3, FALSE), 210), ROUND((IFERROR(VLOOKUP(F77, Relic_Price_Config!$G$5:$N$100, 4, FALSE), 280) + N(H77) * IFERROR(VLOOKUP(F77, Relic_Price_Config!$G$5:$N$100, 5, FALSE), 10) + ABS(N(M77)) * IFERROR(VLOOKUP(F77, Relic_Price_Config!$G$5:$N$100, 6, FALSE), 15) + IF(N(N77)&gt;1, (N(N77)-1)*10, 0)) * IFERROR(VLOOKUP(D77, Relic_Price_Config!$A$5:$E$9, 2, FALSE), 1), 0)))))</f>
        <v>280</v>
      </c>
      <c r="R77" s="68">
        <f t="shared" si="4"/>
        <v>195</v>
      </c>
      <c r="S77" s="68">
        <f t="shared" si="5"/>
        <v>365</v>
      </c>
      <c r="T77" s="68">
        <f>IF(E77="OnGainRelic", 0, MIN(IFERROR(VLOOKUP(D77, Relic_Price_Config!$A$5:$E$9, 4, FALSE), 350), MAX(IFERROR(VLOOKUP(D77, Relic_Price_Config!$A$5:$E$9, 3, FALSE), 210), ROUND((IFERROR(VLOOKUP(F77, Relic_Price_Config!$G$5:$N$100, 4, FALSE), 280) + N(H77) * IFERROR(VLOOKUP(F77, Relic_Price_Config!$G$5:$N$100, 5, FALSE), 10) + ABS(N(M77)) * IFERROR(VLOOKUP(F77, Relic_Price_Config!$G$5:$N$100, 6, FALSE), 15) + IF(N(N77)&gt;1, (N(N77)-1)*10, 0)) * IFERROR(VLOOKUP(D77, Relic_Price_Config!$A$5:$E$9, 2, FALSE), 1), 0))))</f>
        <v>280</v>
      </c>
      <c r="U77" s="56" t="str">
        <f>IF(E77="OnGainRelic", "획득 시 즉발 (0원)", IFERROR(VLOOKUP(F77, Relic_Price_Config!$G$5:$N$100, 2, FALSE), "기타 효과"))</f>
        <v>광역 피해 [전체 데미지]</v>
      </c>
    </row>
    <row r="78" spans="1:21" ht="27.6" customHeight="1">
      <c r="A78" s="56" t="s">
        <v>2431</v>
      </c>
      <c r="B78" s="57" t="s">
        <v>2432</v>
      </c>
      <c r="C78" s="57" t="s">
        <v>2433</v>
      </c>
      <c r="D78" s="56" t="s">
        <v>34</v>
      </c>
      <c r="E78" s="56" t="s">
        <v>2125</v>
      </c>
      <c r="F78" s="56" t="s">
        <v>44</v>
      </c>
      <c r="G78" s="56" t="s">
        <v>45</v>
      </c>
      <c r="H78" s="56">
        <v>2</v>
      </c>
      <c r="I78" s="56"/>
      <c r="J78" s="56">
        <v>0</v>
      </c>
      <c r="K78" s="56"/>
      <c r="L78" s="56"/>
      <c r="M78" s="56">
        <v>0</v>
      </c>
      <c r="N78" s="56">
        <v>0</v>
      </c>
      <c r="O78" s="56">
        <v>-1</v>
      </c>
      <c r="P78" s="56" t="s">
        <v>59</v>
      </c>
      <c r="Q78" s="68">
        <f>IF(E78="OnGainRelic", 0, IF(OR(P78="Quest", P78="Monster", P78="Event", D78="Basic", D78="Upgrade"), -1, MIN(IFERROR(VLOOKUP(D78, Relic_Price_Config!$A$5:$E$9, 4, FALSE), 350), MAX(IFERROR(VLOOKUP(D78, Relic_Price_Config!$A$5:$E$9, 3, FALSE), 210), ROUND((IFERROR(VLOOKUP(F78, Relic_Price_Config!$G$5:$N$100, 4, FALSE), 280) + N(H78) * IFERROR(VLOOKUP(F78, Relic_Price_Config!$G$5:$N$100, 5, FALSE), 10) + ABS(N(M78)) * IFERROR(VLOOKUP(F78, Relic_Price_Config!$G$5:$N$100, 6, FALSE), 15) + IF(N(N78)&gt;1, (N(N78)-1)*10, 0)) * IFERROR(VLOOKUP(D78, Relic_Price_Config!$A$5:$E$9, 2, FALSE), 1), 0)))))</f>
        <v>300</v>
      </c>
      <c r="R78" s="68">
        <f t="shared" si="4"/>
        <v>210</v>
      </c>
      <c r="S78" s="68">
        <f t="shared" si="5"/>
        <v>390</v>
      </c>
      <c r="T78" s="68">
        <f>IF(E78="OnGainRelic", 0, MIN(IFERROR(VLOOKUP(D78, Relic_Price_Config!$A$5:$E$9, 4, FALSE), 350), MAX(IFERROR(VLOOKUP(D78, Relic_Price_Config!$A$5:$E$9, 3, FALSE), 210), ROUND((IFERROR(VLOOKUP(F78, Relic_Price_Config!$G$5:$N$100, 4, FALSE), 280) + N(H78) * IFERROR(VLOOKUP(F78, Relic_Price_Config!$G$5:$N$100, 5, FALSE), 10) + ABS(N(M78)) * IFERROR(VLOOKUP(F78, Relic_Price_Config!$G$5:$N$100, 6, FALSE), 15) + IF(N(N78)&gt;1, (N(N78)-1)*10, 0)) * IFERROR(VLOOKUP(D78, Relic_Price_Config!$A$5:$E$9, 2, FALSE), 1), 0))))</f>
        <v>300</v>
      </c>
      <c r="U78" s="56" t="str">
        <f>IF(E78="OnGainRelic", "획득 시 즉발 (0원)", IFERROR(VLOOKUP(F78, Relic_Price_Config!$G$5:$N$100, 2, FALSE), "기타 효과"))</f>
        <v>방어 관련 [보호막 획득]</v>
      </c>
    </row>
    <row r="79" spans="1:21" ht="17.25" customHeight="1">
      <c r="A79" s="56" t="s">
        <v>2434</v>
      </c>
      <c r="B79" s="57" t="s">
        <v>2435</v>
      </c>
      <c r="C79" s="57" t="s">
        <v>2436</v>
      </c>
      <c r="D79" s="56" t="s">
        <v>34</v>
      </c>
      <c r="E79" s="56" t="s">
        <v>2202</v>
      </c>
      <c r="F79" s="56" t="s">
        <v>70</v>
      </c>
      <c r="G79" s="56" t="s">
        <v>45</v>
      </c>
      <c r="H79" s="56">
        <v>0</v>
      </c>
      <c r="I79" s="56"/>
      <c r="J79" s="56">
        <v>0</v>
      </c>
      <c r="K79" s="56" t="s">
        <v>71</v>
      </c>
      <c r="L79" s="56"/>
      <c r="M79" s="56">
        <v>1</v>
      </c>
      <c r="N79" s="56">
        <v>2</v>
      </c>
      <c r="O79" s="56">
        <v>-1</v>
      </c>
      <c r="P79" s="56" t="s">
        <v>59</v>
      </c>
      <c r="Q79" s="68">
        <f>IF(E79="OnGainRelic", 0, IF(OR(P79="Quest", P79="Monster", P79="Event", D79="Basic", D79="Upgrade"), -1, MIN(IFERROR(VLOOKUP(D79, Relic_Price_Config!$A$5:$E$9, 4, FALSE), 350), MAX(IFERROR(VLOOKUP(D79, Relic_Price_Config!$A$5:$E$9, 3, FALSE), 210), ROUND((IFERROR(VLOOKUP(F79, Relic_Price_Config!$G$5:$N$100, 4, FALSE), 280) + N(H79) * IFERROR(VLOOKUP(F79, Relic_Price_Config!$G$5:$N$100, 5, FALSE), 10) + ABS(N(M79)) * IFERROR(VLOOKUP(F79, Relic_Price_Config!$G$5:$N$100, 6, FALSE), 15) + IF(N(N79)&gt;1, (N(N79)-1)*10, 0)) * IFERROR(VLOOKUP(D79, Relic_Price_Config!$A$5:$E$9, 2, FALSE), 1), 0)))))</f>
        <v>315</v>
      </c>
      <c r="R79" s="68">
        <f t="shared" si="4"/>
        <v>220</v>
      </c>
      <c r="S79" s="68">
        <f t="shared" si="5"/>
        <v>410</v>
      </c>
      <c r="T79" s="68">
        <f>IF(E79="OnGainRelic", 0, MIN(IFERROR(VLOOKUP(D79, Relic_Price_Config!$A$5:$E$9, 4, FALSE), 350), MAX(IFERROR(VLOOKUP(D79, Relic_Price_Config!$A$5:$E$9, 3, FALSE), 210), ROUND((IFERROR(VLOOKUP(F79, Relic_Price_Config!$G$5:$N$100, 4, FALSE), 280) + N(H79) * IFERROR(VLOOKUP(F79, Relic_Price_Config!$G$5:$N$100, 5, FALSE), 10) + ABS(N(M79)) * IFERROR(VLOOKUP(F79, Relic_Price_Config!$G$5:$N$100, 6, FALSE), 15) + IF(N(N79)&gt;1, (N(N79)-1)*10, 0)) * IFERROR(VLOOKUP(D79, Relic_Price_Config!$A$5:$E$9, 2, FALSE), 1), 0))))</f>
        <v>315</v>
      </c>
      <c r="U79" s="56" t="str">
        <f>IF(E79="OnGainRelic", "획득 시 즉발 (0원)", IFERROR(VLOOKUP(F79, Relic_Price_Config!$G$5:$N$100, 2, FALSE), "기타 효과"))</f>
        <v>공격 증가 [아군 공격 상승]</v>
      </c>
    </row>
    <row r="80" spans="1:21" ht="17.25" customHeight="1">
      <c r="A80" s="56" t="s">
        <v>2437</v>
      </c>
      <c r="B80" s="57" t="s">
        <v>2438</v>
      </c>
      <c r="C80" s="57" t="s">
        <v>2334</v>
      </c>
      <c r="D80" s="56" t="s">
        <v>34</v>
      </c>
      <c r="E80" s="56" t="s">
        <v>2202</v>
      </c>
      <c r="F80" s="56" t="s">
        <v>418</v>
      </c>
      <c r="G80" s="56" t="s">
        <v>108</v>
      </c>
      <c r="H80" s="56">
        <v>0</v>
      </c>
      <c r="I80" s="56"/>
      <c r="J80" s="56">
        <v>0</v>
      </c>
      <c r="K80" s="56" t="s">
        <v>94</v>
      </c>
      <c r="L80" s="56"/>
      <c r="M80" s="56">
        <v>1</v>
      </c>
      <c r="N80" s="56">
        <v>1</v>
      </c>
      <c r="O80" s="56">
        <v>-1</v>
      </c>
      <c r="P80" s="56" t="s">
        <v>59</v>
      </c>
      <c r="Q80" s="68">
        <f>IF(E80="OnGainRelic", 0, IF(OR(P80="Quest", P80="Monster", P80="Event", D80="Basic", D80="Upgrade"), -1, MIN(IFERROR(VLOOKUP(D80, Relic_Price_Config!$A$5:$E$9, 4, FALSE), 350), MAX(IFERROR(VLOOKUP(D80, Relic_Price_Config!$A$5:$E$9, 3, FALSE), 210), ROUND((IFERROR(VLOOKUP(F80, Relic_Price_Config!$G$5:$N$100, 4, FALSE), 280) + N(H80) * IFERROR(VLOOKUP(F80, Relic_Price_Config!$G$5:$N$100, 5, FALSE), 10) + ABS(N(M80)) * IFERROR(VLOOKUP(F80, Relic_Price_Config!$G$5:$N$100, 6, FALSE), 15) + IF(N(N80)&gt;1, (N(N80)-1)*10, 0)) * IFERROR(VLOOKUP(D80, Relic_Price_Config!$A$5:$E$9, 2, FALSE), 1), 0)))))</f>
        <v>310</v>
      </c>
      <c r="R80" s="68">
        <f t="shared" si="4"/>
        <v>215</v>
      </c>
      <c r="S80" s="68">
        <f t="shared" si="5"/>
        <v>405</v>
      </c>
      <c r="T80" s="68">
        <f>IF(E80="OnGainRelic", 0, MIN(IFERROR(VLOOKUP(D80, Relic_Price_Config!$A$5:$E$9, 4, FALSE), 350), MAX(IFERROR(VLOOKUP(D80, Relic_Price_Config!$A$5:$E$9, 3, FALSE), 210), ROUND((IFERROR(VLOOKUP(F80, Relic_Price_Config!$G$5:$N$100, 4, FALSE), 280) + N(H80) * IFERROR(VLOOKUP(F80, Relic_Price_Config!$G$5:$N$100, 5, FALSE), 10) + ABS(N(M80)) * IFERROR(VLOOKUP(F80, Relic_Price_Config!$G$5:$N$100, 6, FALSE), 15) + IF(N(N80)&gt;1, (N(N80)-1)*10, 0)) * IFERROR(VLOOKUP(D80, Relic_Price_Config!$A$5:$E$9, 2, FALSE), 1), 0))))</f>
        <v>310</v>
      </c>
      <c r="U80" s="56" t="str">
        <f>IF(E80="OnGainRelic", "획득 시 즉발 (0원)", IFERROR(VLOOKUP(F80, Relic_Price_Config!$G$5:$N$100, 2, FALSE), "기타 효과"))</f>
        <v>공격 증가 [적 받는 피해 증가]</v>
      </c>
    </row>
    <row r="81" spans="1:21" ht="41.4" customHeight="1">
      <c r="A81" s="56" t="s">
        <v>2439</v>
      </c>
      <c r="B81" s="57" t="s">
        <v>2440</v>
      </c>
      <c r="C81" s="57" t="s">
        <v>2441</v>
      </c>
      <c r="D81" s="56" t="s">
        <v>208</v>
      </c>
      <c r="E81" s="56" t="s">
        <v>2125</v>
      </c>
      <c r="F81" s="56" t="s">
        <v>652</v>
      </c>
      <c r="G81" s="56" t="s">
        <v>108</v>
      </c>
      <c r="H81" s="56">
        <v>4</v>
      </c>
      <c r="I81" s="56"/>
      <c r="J81" s="56">
        <v>0</v>
      </c>
      <c r="K81" s="56"/>
      <c r="L81" s="56"/>
      <c r="M81" s="56">
        <v>0</v>
      </c>
      <c r="N81" s="56">
        <v>0</v>
      </c>
      <c r="O81" s="56">
        <v>-1</v>
      </c>
      <c r="P81" s="56" t="s">
        <v>59</v>
      </c>
      <c r="Q81" s="68">
        <f>IF(E81="OnGainRelic", 0, IF(OR(P81="Quest", P81="Monster", P81="Event", D81="Basic", D81="Upgrade"), -1, MIN(IFERROR(VLOOKUP(D81, Relic_Price_Config!$A$5:$E$9, 4, FALSE), 350), MAX(IFERROR(VLOOKUP(D81, Relic_Price_Config!$A$5:$E$9, 3, FALSE), 210), ROUND((IFERROR(VLOOKUP(F81, Relic_Price_Config!$G$5:$N$100, 4, FALSE), 280) + N(H81) * IFERROR(VLOOKUP(F81, Relic_Price_Config!$G$5:$N$100, 5, FALSE), 10) + ABS(N(M81)) * IFERROR(VLOOKUP(F81, Relic_Price_Config!$G$5:$N$100, 6, FALSE), 15) + IF(N(N81)&gt;1, (N(N81)-1)*10, 0)) * IFERROR(VLOOKUP(D81, Relic_Price_Config!$A$5:$E$9, 2, FALSE), 1), 0)))))</f>
        <v>450</v>
      </c>
      <c r="R81" s="68">
        <f t="shared" si="4"/>
        <v>315</v>
      </c>
      <c r="S81" s="68">
        <f t="shared" si="5"/>
        <v>585</v>
      </c>
      <c r="T81" s="68">
        <f>IF(E81="OnGainRelic", 0, MIN(IFERROR(VLOOKUP(D81, Relic_Price_Config!$A$5:$E$9, 4, FALSE), 350), MAX(IFERROR(VLOOKUP(D81, Relic_Price_Config!$A$5:$E$9, 3, FALSE), 210), ROUND((IFERROR(VLOOKUP(F81, Relic_Price_Config!$G$5:$N$100, 4, FALSE), 280) + N(H81) * IFERROR(VLOOKUP(F81, Relic_Price_Config!$G$5:$N$100, 5, FALSE), 10) + ABS(N(M81)) * IFERROR(VLOOKUP(F81, Relic_Price_Config!$G$5:$N$100, 6, FALSE), 15) + IF(N(N81)&gt;1, (N(N81)-1)*10, 0)) * IFERROR(VLOOKUP(D81, Relic_Price_Config!$A$5:$E$9, 2, FALSE), 1), 0))))</f>
        <v>450</v>
      </c>
      <c r="U81" s="56" t="str">
        <f>IF(E81="OnGainRelic", "획득 시 즉발 (0원)", IFERROR(VLOOKUP(F81, Relic_Price_Config!$G$5:$N$100, 2, FALSE), "기타 효과"))</f>
        <v>광역 피해 [전체 데미지]</v>
      </c>
    </row>
    <row r="82" spans="1:21" ht="55.2" customHeight="1">
      <c r="A82" s="56" t="s">
        <v>2442</v>
      </c>
      <c r="B82" s="57" t="s">
        <v>2443</v>
      </c>
      <c r="C82" s="57" t="s">
        <v>2444</v>
      </c>
      <c r="D82" s="56" t="s">
        <v>208</v>
      </c>
      <c r="E82" s="56" t="s">
        <v>2125</v>
      </c>
      <c r="F82" s="56" t="s">
        <v>638</v>
      </c>
      <c r="G82" s="56" t="s">
        <v>504</v>
      </c>
      <c r="H82" s="56">
        <v>2</v>
      </c>
      <c r="I82" s="56"/>
      <c r="J82" s="56">
        <v>0</v>
      </c>
      <c r="K82" s="56"/>
      <c r="L82" s="56"/>
      <c r="M82" s="56">
        <v>0</v>
      </c>
      <c r="N82" s="56">
        <v>0</v>
      </c>
      <c r="O82" s="56">
        <v>-1</v>
      </c>
      <c r="P82" s="56" t="s">
        <v>59</v>
      </c>
      <c r="Q82" s="68">
        <f>IF(E82="OnGainRelic", 0, IF(OR(P82="Quest", P82="Monster", P82="Event", D82="Basic", D82="Upgrade"), -1, MIN(IFERROR(VLOOKUP(D82, Relic_Price_Config!$A$5:$E$9, 4, FALSE), 350), MAX(IFERROR(VLOOKUP(D82, Relic_Price_Config!$A$5:$E$9, 3, FALSE), 210), ROUND((IFERROR(VLOOKUP(F82, Relic_Price_Config!$G$5:$N$100, 4, FALSE), 280) + N(H82) * IFERROR(VLOOKUP(F82, Relic_Price_Config!$G$5:$N$100, 5, FALSE), 10) + ABS(N(M82)) * IFERROR(VLOOKUP(F82, Relic_Price_Config!$G$5:$N$100, 6, FALSE), 15) + IF(N(N82)&gt;1, (N(N82)-1)*10, 0)) * IFERROR(VLOOKUP(D82, Relic_Price_Config!$A$5:$E$9, 2, FALSE), 1), 0)))))</f>
        <v>456</v>
      </c>
      <c r="R82" s="68">
        <f t="shared" si="4"/>
        <v>320</v>
      </c>
      <c r="S82" s="68">
        <f t="shared" si="5"/>
        <v>595</v>
      </c>
      <c r="T82" s="68">
        <f>IF(E82="OnGainRelic", 0, MIN(IFERROR(VLOOKUP(D82, Relic_Price_Config!$A$5:$E$9, 4, FALSE), 350), MAX(IFERROR(VLOOKUP(D82, Relic_Price_Config!$A$5:$E$9, 3, FALSE), 210), ROUND((IFERROR(VLOOKUP(F82, Relic_Price_Config!$G$5:$N$100, 4, FALSE), 280) + N(H82) * IFERROR(VLOOKUP(F82, Relic_Price_Config!$G$5:$N$100, 5, FALSE), 10) + ABS(N(M82)) * IFERROR(VLOOKUP(F82, Relic_Price_Config!$G$5:$N$100, 6, FALSE), 15) + IF(N(N82)&gt;1, (N(N82)-1)*10, 0)) * IFERROR(VLOOKUP(D82, Relic_Price_Config!$A$5:$E$9, 2, FALSE), 1), 0))))</f>
        <v>456</v>
      </c>
      <c r="U82" s="56" t="str">
        <f>IF(E82="OnGainRelic", "획득 시 즉발 (0원)", IFERROR(VLOOKUP(F82, Relic_Price_Config!$G$5:$N$100, 2, FALSE), "기타 효과"))</f>
        <v>방어 관련 [광역 보호막 획득]</v>
      </c>
    </row>
    <row r="83" spans="1:21" ht="27.6" customHeight="1">
      <c r="A83" s="56" t="s">
        <v>2445</v>
      </c>
      <c r="B83" s="57" t="s">
        <v>2446</v>
      </c>
      <c r="C83" s="57" t="s">
        <v>2447</v>
      </c>
      <c r="D83" s="56" t="s">
        <v>208</v>
      </c>
      <c r="E83" s="56" t="s">
        <v>2331</v>
      </c>
      <c r="F83" s="56" t="s">
        <v>70</v>
      </c>
      <c r="G83" s="56" t="s">
        <v>45</v>
      </c>
      <c r="H83" s="56">
        <v>0</v>
      </c>
      <c r="I83" s="56"/>
      <c r="J83" s="56">
        <v>0</v>
      </c>
      <c r="K83" s="56" t="s">
        <v>71</v>
      </c>
      <c r="L83" s="56"/>
      <c r="M83" s="56">
        <v>1</v>
      </c>
      <c r="N83" s="56">
        <v>1</v>
      </c>
      <c r="O83" s="56">
        <v>-1</v>
      </c>
      <c r="P83" s="56" t="s">
        <v>59</v>
      </c>
      <c r="Q83" s="68">
        <f>IF(E83="OnGainRelic", 0, IF(OR(P83="Quest", P83="Monster", P83="Event", D83="Basic", D83="Upgrade"), -1, MIN(IFERROR(VLOOKUP(D83, Relic_Price_Config!$A$5:$E$9, 4, FALSE), 350), MAX(IFERROR(VLOOKUP(D83, Relic_Price_Config!$A$5:$E$9, 3, FALSE), 210), ROUND((IFERROR(VLOOKUP(F83, Relic_Price_Config!$G$5:$N$100, 4, FALSE), 280) + N(H83) * IFERROR(VLOOKUP(F83, Relic_Price_Config!$G$5:$N$100, 5, FALSE), 10) + ABS(N(M83)) * IFERROR(VLOOKUP(F83, Relic_Price_Config!$G$5:$N$100, 6, FALSE), 15) + IF(N(N83)&gt;1, (N(N83)-1)*10, 0)) * IFERROR(VLOOKUP(D83, Relic_Price_Config!$A$5:$E$9, 2, FALSE), 1), 0)))))</f>
        <v>458</v>
      </c>
      <c r="R83" s="68">
        <f t="shared" si="4"/>
        <v>320</v>
      </c>
      <c r="S83" s="68">
        <f t="shared" si="5"/>
        <v>595</v>
      </c>
      <c r="T83" s="68">
        <f>IF(E83="OnGainRelic", 0, MIN(IFERROR(VLOOKUP(D83, Relic_Price_Config!$A$5:$E$9, 4, FALSE), 350), MAX(IFERROR(VLOOKUP(D83, Relic_Price_Config!$A$5:$E$9, 3, FALSE), 210), ROUND((IFERROR(VLOOKUP(F83, Relic_Price_Config!$G$5:$N$100, 4, FALSE), 280) + N(H83) * IFERROR(VLOOKUP(F83, Relic_Price_Config!$G$5:$N$100, 5, FALSE), 10) + ABS(N(M83)) * IFERROR(VLOOKUP(F83, Relic_Price_Config!$G$5:$N$100, 6, FALSE), 15) + IF(N(N83)&gt;1, (N(N83)-1)*10, 0)) * IFERROR(VLOOKUP(D83, Relic_Price_Config!$A$5:$E$9, 2, FALSE), 1), 0))))</f>
        <v>458</v>
      </c>
      <c r="U83" s="56" t="str">
        <f>IF(E83="OnGainRelic", "획득 시 즉발 (0원)", IFERROR(VLOOKUP(F83, Relic_Price_Config!$G$5:$N$100, 2, FALSE), "기타 효과"))</f>
        <v>공격 증가 [아군 공격 상승]</v>
      </c>
    </row>
    <row r="84" spans="1:21" ht="34.799999999999997" customHeight="1">
      <c r="A84" s="56" t="s">
        <v>2448</v>
      </c>
      <c r="B84" s="57" t="s">
        <v>2449</v>
      </c>
      <c r="C84" s="62" t="s">
        <v>2450</v>
      </c>
      <c r="D84" s="56" t="s">
        <v>208</v>
      </c>
      <c r="E84" s="56" t="s">
        <v>2202</v>
      </c>
      <c r="F84" s="56" t="s">
        <v>883</v>
      </c>
      <c r="G84" s="56" t="s">
        <v>108</v>
      </c>
      <c r="H84" s="56">
        <v>0</v>
      </c>
      <c r="I84" s="56"/>
      <c r="J84" s="56">
        <v>0</v>
      </c>
      <c r="K84" s="56" t="s">
        <v>413</v>
      </c>
      <c r="L84" s="56"/>
      <c r="M84" s="56">
        <v>1</v>
      </c>
      <c r="N84" s="56">
        <v>1</v>
      </c>
      <c r="O84" s="56">
        <v>-1</v>
      </c>
      <c r="P84" s="56" t="s">
        <v>59</v>
      </c>
      <c r="Q84" s="68">
        <f>IF(E84="OnGainRelic", 0, IF(OR(P84="Quest", P84="Monster", P84="Event", D84="Basic", D84="Upgrade"), -1, MIN(IFERROR(VLOOKUP(D84, Relic_Price_Config!$A$5:$E$9, 4, FALSE), 350), MAX(IFERROR(VLOOKUP(D84, Relic_Price_Config!$A$5:$E$9, 3, FALSE), 210), ROUND((IFERROR(VLOOKUP(F84, Relic_Price_Config!$G$5:$N$100, 4, FALSE), 280) + N(H84) * IFERROR(VLOOKUP(F84, Relic_Price_Config!$G$5:$N$100, 5, FALSE), 10) + ABS(N(M84)) * IFERROR(VLOOKUP(F84, Relic_Price_Config!$G$5:$N$100, 6, FALSE), 15) + IF(N(N84)&gt;1, (N(N84)-1)*10, 0)) * IFERROR(VLOOKUP(D84, Relic_Price_Config!$A$5:$E$9, 2, FALSE), 1), 0)))))</f>
        <v>443</v>
      </c>
      <c r="R84" s="68">
        <f t="shared" si="4"/>
        <v>310</v>
      </c>
      <c r="S84" s="68">
        <f t="shared" si="5"/>
        <v>575</v>
      </c>
      <c r="T84" s="68">
        <f>IF(E84="OnGainRelic", 0, MIN(IFERROR(VLOOKUP(D84, Relic_Price_Config!$A$5:$E$9, 4, FALSE), 350), MAX(IFERROR(VLOOKUP(D84, Relic_Price_Config!$A$5:$E$9, 3, FALSE), 210), ROUND((IFERROR(VLOOKUP(F84, Relic_Price_Config!$G$5:$N$100, 4, FALSE), 280) + N(H84) * IFERROR(VLOOKUP(F84, Relic_Price_Config!$G$5:$N$100, 5, FALSE), 10) + ABS(N(M84)) * IFERROR(VLOOKUP(F84, Relic_Price_Config!$G$5:$N$100, 6, FALSE), 15) + IF(N(N84)&gt;1, (N(N84)-1)*10, 0)) * IFERROR(VLOOKUP(D84, Relic_Price_Config!$A$5:$E$9, 2, FALSE), 1), 0))))</f>
        <v>443</v>
      </c>
      <c r="U84" s="56" t="str">
        <f>IF(E84="OnGainRelic", "획득 시 즉발 (0원)", IFERROR(VLOOKUP(F84, Relic_Price_Config!$G$5:$N$100, 2, FALSE), "기타 효과"))</f>
        <v>방어 증가 [적 공격 스탯 감소]</v>
      </c>
    </row>
    <row r="85" spans="1:21" ht="27.6" customHeight="1">
      <c r="A85" s="56" t="s">
        <v>2451</v>
      </c>
      <c r="B85" s="57" t="s">
        <v>2452</v>
      </c>
      <c r="C85" s="57" t="s">
        <v>2453</v>
      </c>
      <c r="D85" s="56" t="s">
        <v>295</v>
      </c>
      <c r="E85" s="56" t="s">
        <v>2125</v>
      </c>
      <c r="F85" s="56" t="s">
        <v>309</v>
      </c>
      <c r="G85" s="56" t="s">
        <v>108</v>
      </c>
      <c r="H85" s="56">
        <v>5</v>
      </c>
      <c r="I85" s="56" t="s">
        <v>37</v>
      </c>
      <c r="J85" s="56">
        <v>1</v>
      </c>
      <c r="K85" s="56" t="s">
        <v>130</v>
      </c>
      <c r="L85" s="56"/>
      <c r="M85" s="56">
        <v>1</v>
      </c>
      <c r="N85" s="56">
        <v>1</v>
      </c>
      <c r="O85" s="56">
        <v>-1</v>
      </c>
      <c r="P85" s="56" t="s">
        <v>59</v>
      </c>
      <c r="Q85" s="68">
        <f>IF(E85="OnGainRelic", 0, IF(OR(P85="Quest", P85="Monster", P85="Event", D85="Basic", D85="Upgrade"), -1, MIN(IFERROR(VLOOKUP(D85, Relic_Price_Config!$A$5:$E$9, 4, FALSE), 350), MAX(IFERROR(VLOOKUP(D85, Relic_Price_Config!$A$5:$E$9, 3, FALSE), 210), ROUND((IFERROR(VLOOKUP(F85, Relic_Price_Config!$G$5:$N$100, 4, FALSE), 280) + N(H85) * IFERROR(VLOOKUP(F85, Relic_Price_Config!$G$5:$N$100, 5, FALSE), 10) + ABS(N(M85)) * IFERROR(VLOOKUP(F85, Relic_Price_Config!$G$5:$N$100, 6, FALSE), 15) + IF(N(N85)&gt;1, (N(N85)-1)*10, 0)) * IFERROR(VLOOKUP(D85, Relic_Price_Config!$A$5:$E$9, 2, FALSE), 1), 0)))))</f>
        <v>620</v>
      </c>
      <c r="R85" s="68">
        <f t="shared" si="4"/>
        <v>435</v>
      </c>
      <c r="S85" s="68">
        <f t="shared" si="5"/>
        <v>805</v>
      </c>
      <c r="T85" s="68">
        <f>IF(E85="OnGainRelic", 0, MIN(IFERROR(VLOOKUP(D85, Relic_Price_Config!$A$5:$E$9, 4, FALSE), 350), MAX(IFERROR(VLOOKUP(D85, Relic_Price_Config!$A$5:$E$9, 3, FALSE), 210), ROUND((IFERROR(VLOOKUP(F85, Relic_Price_Config!$G$5:$N$100, 4, FALSE), 280) + N(H85) * IFERROR(VLOOKUP(F85, Relic_Price_Config!$G$5:$N$100, 5, FALSE), 10) + ABS(N(M85)) * IFERROR(VLOOKUP(F85, Relic_Price_Config!$G$5:$N$100, 6, FALSE), 15) + IF(N(N85)&gt;1, (N(N85)-1)*10, 0)) * IFERROR(VLOOKUP(D85, Relic_Price_Config!$A$5:$E$9, 2, FALSE), 1), 0))))</f>
        <v>620</v>
      </c>
      <c r="U85" s="56" t="str">
        <f>IF(E85="OnGainRelic", "획득 시 즉발 (0원)", IFERROR(VLOOKUP(F85, Relic_Price_Config!$G$5:$N$100, 2, FALSE), "기타 효과"))</f>
        <v>광역 공격 [피해+용암 부여]</v>
      </c>
    </row>
    <row r="86" spans="1:21" ht="27.6" customHeight="1">
      <c r="A86" s="56" t="s">
        <v>2454</v>
      </c>
      <c r="B86" s="62" t="s">
        <v>2455</v>
      </c>
      <c r="C86" s="57" t="s">
        <v>2456</v>
      </c>
      <c r="D86" s="56" t="s">
        <v>295</v>
      </c>
      <c r="E86" s="56" t="s">
        <v>2125</v>
      </c>
      <c r="F86" s="56" t="s">
        <v>503</v>
      </c>
      <c r="G86" s="56" t="s">
        <v>504</v>
      </c>
      <c r="H86" s="56">
        <v>4</v>
      </c>
      <c r="I86" s="56"/>
      <c r="J86" s="56">
        <v>0</v>
      </c>
      <c r="K86" s="56" t="s">
        <v>229</v>
      </c>
      <c r="L86" s="56"/>
      <c r="M86" s="56">
        <v>1</v>
      </c>
      <c r="N86" s="56">
        <v>1</v>
      </c>
      <c r="O86" s="56">
        <v>-1</v>
      </c>
      <c r="P86" s="56" t="s">
        <v>59</v>
      </c>
      <c r="Q86" s="68">
        <f>IF(E86="OnGainRelic", 0, IF(OR(P86="Quest", P86="Monster", P86="Event", D86="Basic", D86="Upgrade"), -1, MIN(IFERROR(VLOOKUP(D86, Relic_Price_Config!$A$5:$E$9, 4, FALSE), 350), MAX(IFERROR(VLOOKUP(D86, Relic_Price_Config!$A$5:$E$9, 3, FALSE), 210), ROUND((IFERROR(VLOOKUP(F86, Relic_Price_Config!$G$5:$N$100, 4, FALSE), 280) + N(H86) * IFERROR(VLOOKUP(F86, Relic_Price_Config!$G$5:$N$100, 5, FALSE), 10) + ABS(N(M86)) * IFERROR(VLOOKUP(F86, Relic_Price_Config!$G$5:$N$100, 6, FALSE), 15) + IF(N(N86)&gt;1, (N(N86)-1)*10, 0)) * IFERROR(VLOOKUP(D86, Relic_Price_Config!$A$5:$E$9, 2, FALSE), 1), 0)))))</f>
        <v>648</v>
      </c>
      <c r="R86" s="68">
        <f t="shared" si="4"/>
        <v>455</v>
      </c>
      <c r="S86" s="68">
        <f t="shared" si="5"/>
        <v>840</v>
      </c>
      <c r="T86" s="68">
        <f>IF(E86="OnGainRelic", 0, MIN(IFERROR(VLOOKUP(D86, Relic_Price_Config!$A$5:$E$9, 4, FALSE), 350), MAX(IFERROR(VLOOKUP(D86, Relic_Price_Config!$A$5:$E$9, 3, FALSE), 210), ROUND((IFERROR(VLOOKUP(F86, Relic_Price_Config!$G$5:$N$100, 4, FALSE), 280) + N(H86) * IFERROR(VLOOKUP(F86, Relic_Price_Config!$G$5:$N$100, 5, FALSE), 10) + ABS(N(M86)) * IFERROR(VLOOKUP(F86, Relic_Price_Config!$G$5:$N$100, 6, FALSE), 15) + IF(N(N86)&gt;1, (N(N86)-1)*10, 0)) * IFERROR(VLOOKUP(D86, Relic_Price_Config!$A$5:$E$9, 2, FALSE), 1), 0))))</f>
        <v>648</v>
      </c>
      <c r="U86" s="56" t="str">
        <f>IF(E86="OnGainRelic", "획득 시 즉발 (0원)", IFERROR(VLOOKUP(F86, Relic_Price_Config!$G$5:$N$100, 2, FALSE), "기타 효과"))</f>
        <v>광역 방어 [전체 보호막+전체 견고]</v>
      </c>
    </row>
    <row r="87" spans="1:21" ht="34.799999999999997" customHeight="1">
      <c r="A87" s="56" t="s">
        <v>2457</v>
      </c>
      <c r="B87" s="57" t="s">
        <v>2458</v>
      </c>
      <c r="C87" s="62" t="s">
        <v>2459</v>
      </c>
      <c r="D87" s="56" t="s">
        <v>295</v>
      </c>
      <c r="E87" s="56" t="s">
        <v>2202</v>
      </c>
      <c r="F87" s="56" t="s">
        <v>520</v>
      </c>
      <c r="G87" s="56" t="s">
        <v>504</v>
      </c>
      <c r="H87" s="56">
        <v>0</v>
      </c>
      <c r="I87" s="56"/>
      <c r="J87" s="56">
        <v>0</v>
      </c>
      <c r="K87" s="56" t="s">
        <v>71</v>
      </c>
      <c r="L87" s="56"/>
      <c r="M87" s="56">
        <v>2</v>
      </c>
      <c r="N87" s="56">
        <v>-1</v>
      </c>
      <c r="O87" s="56">
        <v>-1</v>
      </c>
      <c r="P87" s="56" t="s">
        <v>59</v>
      </c>
      <c r="Q87" s="68">
        <f>IF(E87="OnGainRelic", 0, IF(OR(P87="Quest", P87="Monster", P87="Event", D87="Basic", D87="Upgrade"), -1, MIN(IFERROR(VLOOKUP(D87, Relic_Price_Config!$A$5:$E$9, 4, FALSE), 350), MAX(IFERROR(VLOOKUP(D87, Relic_Price_Config!$A$5:$E$9, 3, FALSE), 210), ROUND((IFERROR(VLOOKUP(F87, Relic_Price_Config!$G$5:$N$100, 4, FALSE), 280) + N(H87) * IFERROR(VLOOKUP(F87, Relic_Price_Config!$G$5:$N$100, 5, FALSE), 10) + ABS(N(M87)) * IFERROR(VLOOKUP(F87, Relic_Price_Config!$G$5:$N$100, 6, FALSE), 15) + IF(N(N87)&gt;1, (N(N87)-1)*10, 0)) * IFERROR(VLOOKUP(D87, Relic_Price_Config!$A$5:$E$9, 2, FALSE), 1), 0)))))</f>
        <v>690</v>
      </c>
      <c r="R87" s="68">
        <f t="shared" si="4"/>
        <v>485</v>
      </c>
      <c r="S87" s="68">
        <f t="shared" si="5"/>
        <v>895</v>
      </c>
      <c r="T87" s="68">
        <f>IF(E87="OnGainRelic", 0, MIN(IFERROR(VLOOKUP(D87, Relic_Price_Config!$A$5:$E$9, 4, FALSE), 350), MAX(IFERROR(VLOOKUP(D87, Relic_Price_Config!$A$5:$E$9, 3, FALSE), 210), ROUND((IFERROR(VLOOKUP(F87, Relic_Price_Config!$G$5:$N$100, 4, FALSE), 280) + N(H87) * IFERROR(VLOOKUP(F87, Relic_Price_Config!$G$5:$N$100, 5, FALSE), 10) + ABS(N(M87)) * IFERROR(VLOOKUP(F87, Relic_Price_Config!$G$5:$N$100, 6, FALSE), 15) + IF(N(N87)&gt;1, (N(N87)-1)*10, 0)) * IFERROR(VLOOKUP(D87, Relic_Price_Config!$A$5:$E$9, 2, FALSE), 1), 0))))</f>
        <v>690</v>
      </c>
      <c r="U87" s="56" t="str">
        <f>IF(E87="OnGainRelic", "획득 시 즉발 (0원)", IFERROR(VLOOKUP(F87, Relic_Price_Config!$G$5:$N$100, 2, FALSE), "기타 효과"))</f>
        <v>광역 버프 [전체 용기+전체 견고]</v>
      </c>
    </row>
    <row r="88" spans="1:21" ht="27.6" customHeight="1">
      <c r="A88" s="56" t="s">
        <v>2460</v>
      </c>
      <c r="B88" s="57" t="s">
        <v>2461</v>
      </c>
      <c r="C88" s="57" t="s">
        <v>2462</v>
      </c>
      <c r="D88" s="56" t="s">
        <v>295</v>
      </c>
      <c r="E88" s="56" t="s">
        <v>2125</v>
      </c>
      <c r="F88" s="56" t="s">
        <v>418</v>
      </c>
      <c r="G88" s="56" t="s">
        <v>108</v>
      </c>
      <c r="H88" s="56">
        <v>0</v>
      </c>
      <c r="I88" s="56"/>
      <c r="J88" s="56">
        <v>0</v>
      </c>
      <c r="K88" s="56" t="s">
        <v>94</v>
      </c>
      <c r="L88" s="56"/>
      <c r="M88" s="56">
        <v>1</v>
      </c>
      <c r="N88" s="56">
        <v>1</v>
      </c>
      <c r="O88" s="56">
        <v>-1</v>
      </c>
      <c r="P88" s="56" t="s">
        <v>59</v>
      </c>
      <c r="Q88" s="68">
        <f>IF(E88="OnGainRelic", 0, IF(OR(P88="Quest", P88="Monster", P88="Event", D88="Basic", D88="Upgrade"), -1, MIN(IFERROR(VLOOKUP(D88, Relic_Price_Config!$A$5:$E$9, 4, FALSE), 350), MAX(IFERROR(VLOOKUP(D88, Relic_Price_Config!$A$5:$E$9, 3, FALSE), 210), ROUND((IFERROR(VLOOKUP(F88, Relic_Price_Config!$G$5:$N$100, 4, FALSE), 280) + N(H88) * IFERROR(VLOOKUP(F88, Relic_Price_Config!$G$5:$N$100, 5, FALSE), 10) + ABS(N(M88)) * IFERROR(VLOOKUP(F88, Relic_Price_Config!$G$5:$N$100, 6, FALSE), 15) + IF(N(N88)&gt;1, (N(N88)-1)*10, 0)) * IFERROR(VLOOKUP(D88, Relic_Price_Config!$A$5:$E$9, 2, FALSE), 1), 0)))))</f>
        <v>620</v>
      </c>
      <c r="R88" s="68">
        <f t="shared" si="4"/>
        <v>435</v>
      </c>
      <c r="S88" s="68">
        <f t="shared" si="5"/>
        <v>805</v>
      </c>
      <c r="T88" s="68">
        <f>IF(E88="OnGainRelic", 0, MIN(IFERROR(VLOOKUP(D88, Relic_Price_Config!$A$5:$E$9, 4, FALSE), 350), MAX(IFERROR(VLOOKUP(D88, Relic_Price_Config!$A$5:$E$9, 3, FALSE), 210), ROUND((IFERROR(VLOOKUP(F88, Relic_Price_Config!$G$5:$N$100, 4, FALSE), 280) + N(H88) * IFERROR(VLOOKUP(F88, Relic_Price_Config!$G$5:$N$100, 5, FALSE), 10) + ABS(N(M88)) * IFERROR(VLOOKUP(F88, Relic_Price_Config!$G$5:$N$100, 6, FALSE), 15) + IF(N(N88)&gt;1, (N(N88)-1)*10, 0)) * IFERROR(VLOOKUP(D88, Relic_Price_Config!$A$5:$E$9, 2, FALSE), 1), 0))))</f>
        <v>620</v>
      </c>
      <c r="U88" s="56" t="str">
        <f>IF(E88="OnGainRelic", "획득 시 즉발 (0원)", IFERROR(VLOOKUP(F88, Relic_Price_Config!$G$5:$N$100, 2, FALSE), "기타 효과"))</f>
        <v>공격 증가 [적 받는 피해 증가]</v>
      </c>
    </row>
    <row r="89" spans="1:21" ht="27.6" customHeight="1">
      <c r="A89" s="56" t="s">
        <v>2463</v>
      </c>
      <c r="B89" s="57" t="s">
        <v>2464</v>
      </c>
      <c r="C89" s="57" t="s">
        <v>2465</v>
      </c>
      <c r="D89" s="56" t="s">
        <v>32</v>
      </c>
      <c r="E89" s="56" t="s">
        <v>2310</v>
      </c>
      <c r="F89" s="56" t="s">
        <v>2031</v>
      </c>
      <c r="G89" s="56" t="s">
        <v>36</v>
      </c>
      <c r="H89" s="56">
        <v>20</v>
      </c>
      <c r="I89" s="56"/>
      <c r="J89" s="56">
        <v>0</v>
      </c>
      <c r="K89" s="56"/>
      <c r="L89" s="56"/>
      <c r="M89" s="56">
        <v>0</v>
      </c>
      <c r="N89" s="56">
        <v>0</v>
      </c>
      <c r="O89" s="56">
        <v>-1</v>
      </c>
      <c r="P89" s="56" t="s">
        <v>31</v>
      </c>
      <c r="Q89" s="68">
        <f>IF(E89="OnGainRelic", 0, IF(OR(P89="Quest", P89="Monster", P89="Event", D89="Basic", D89="Upgrade"), -1, MIN(IFERROR(VLOOKUP(D89, Relic_Price_Config!$A$5:$E$9, 4, FALSE), 350), MAX(IFERROR(VLOOKUP(D89, Relic_Price_Config!$A$5:$E$9, 3, FALSE), 210), ROUND((IFERROR(VLOOKUP(F89, Relic_Price_Config!$G$5:$N$100, 4, FALSE), 280) + N(H89) * IFERROR(VLOOKUP(F89, Relic_Price_Config!$G$5:$N$100, 5, FALSE), 10) + ABS(N(M89)) * IFERROR(VLOOKUP(F89, Relic_Price_Config!$G$5:$N$100, 6, FALSE), 15) + IF(N(N89)&gt;1, (N(N89)-1)*10, 0)) * IFERROR(VLOOKUP(D89, Relic_Price_Config!$A$5:$E$9, 2, FALSE), 1), 0)))))</f>
        <v>-1</v>
      </c>
      <c r="R89" s="68">
        <f t="shared" si="4"/>
        <v>210</v>
      </c>
      <c r="S89" s="68">
        <f t="shared" si="5"/>
        <v>390</v>
      </c>
      <c r="T89" s="68">
        <f>IF(E89="OnGainRelic", 0, MIN(IFERROR(VLOOKUP(D89, Relic_Price_Config!$A$5:$E$9, 4, FALSE), 350), MAX(IFERROR(VLOOKUP(D89, Relic_Price_Config!$A$5:$E$9, 3, FALSE), 210), ROUND((IFERROR(VLOOKUP(F89, Relic_Price_Config!$G$5:$N$100, 4, FALSE), 280) + N(H89) * IFERROR(VLOOKUP(F89, Relic_Price_Config!$G$5:$N$100, 5, FALSE), 10) + ABS(N(M89)) * IFERROR(VLOOKUP(F89, Relic_Price_Config!$G$5:$N$100, 6, FALSE), 15) + IF(N(N89)&gt;1, (N(N89)-1)*10, 0)) * IFERROR(VLOOKUP(D89, Relic_Price_Config!$A$5:$E$9, 2, FALSE), 1), 0))))</f>
        <v>300</v>
      </c>
      <c r="U89" s="56" t="str">
        <f>IF(E89="OnGainRelic", "획득 시 즉발 (0원)", IFERROR(VLOOKUP(F89, Relic_Price_Config!$G$5:$N$100, 2, FALSE), "기타 효과"))</f>
        <v>공격 증가 [보호막 관통 증폭]</v>
      </c>
    </row>
    <row r="90" spans="1:21" ht="27.6" customHeight="1">
      <c r="A90" s="56" t="s">
        <v>2466</v>
      </c>
      <c r="B90" s="57" t="s">
        <v>2467</v>
      </c>
      <c r="C90" s="57" t="s">
        <v>2468</v>
      </c>
      <c r="D90" s="56" t="s">
        <v>1716</v>
      </c>
      <c r="E90" s="56" t="s">
        <v>2310</v>
      </c>
      <c r="F90" s="56" t="s">
        <v>2031</v>
      </c>
      <c r="G90" s="56" t="s">
        <v>36</v>
      </c>
      <c r="H90" s="56">
        <v>30</v>
      </c>
      <c r="I90" s="56"/>
      <c r="J90" s="56">
        <v>0</v>
      </c>
      <c r="K90" s="56"/>
      <c r="L90" s="56"/>
      <c r="M90" s="56">
        <v>0</v>
      </c>
      <c r="N90" s="56">
        <v>0</v>
      </c>
      <c r="O90" s="56">
        <v>-1</v>
      </c>
      <c r="P90" s="56" t="s">
        <v>31</v>
      </c>
      <c r="Q90" s="68">
        <f>IF(E90="OnGainRelic", 0, IF(OR(P90="Quest", P90="Monster", P90="Event", D90="Basic", D90="Upgrade"), -1, MIN(IFERROR(VLOOKUP(D90, Relic_Price_Config!$A$5:$E$9, 4, FALSE), 350), MAX(IFERROR(VLOOKUP(D90, Relic_Price_Config!$A$5:$E$9, 3, FALSE), 210), ROUND((IFERROR(VLOOKUP(F90, Relic_Price_Config!$G$5:$N$100, 4, FALSE), 280) + N(H90) * IFERROR(VLOOKUP(F90, Relic_Price_Config!$G$5:$N$100, 5, FALSE), 10) + ABS(N(M90)) * IFERROR(VLOOKUP(F90, Relic_Price_Config!$G$5:$N$100, 6, FALSE), 15) + IF(N(N90)&gt;1, (N(N90)-1)*10, 0)) * IFERROR(VLOOKUP(D90, Relic_Price_Config!$A$5:$E$9, 2, FALSE), 1), 0)))))</f>
        <v>-1</v>
      </c>
      <c r="R90" s="68">
        <f t="shared" si="4"/>
        <v>335</v>
      </c>
      <c r="S90" s="68">
        <f t="shared" si="5"/>
        <v>625</v>
      </c>
      <c r="T90" s="68">
        <f>IF(E90="OnGainRelic", 0, MIN(IFERROR(VLOOKUP(D90, Relic_Price_Config!$A$5:$E$9, 4, FALSE), 350), MAX(IFERROR(VLOOKUP(D90, Relic_Price_Config!$A$5:$E$9, 3, FALSE), 210), ROUND((IFERROR(VLOOKUP(F90, Relic_Price_Config!$G$5:$N$100, 4, FALSE), 280) + N(H90) * IFERROR(VLOOKUP(F90, Relic_Price_Config!$G$5:$N$100, 5, FALSE), 10) + ABS(N(M90)) * IFERROR(VLOOKUP(F90, Relic_Price_Config!$G$5:$N$100, 6, FALSE), 15) + IF(N(N90)&gt;1, (N(N90)-1)*10, 0)) * IFERROR(VLOOKUP(D90, Relic_Price_Config!$A$5:$E$9, 2, FALSE), 1), 0))))</f>
        <v>480</v>
      </c>
      <c r="U90" s="56" t="str">
        <f>IF(E90="OnGainRelic", "획득 시 즉발 (0원)", IFERROR(VLOOKUP(F90, Relic_Price_Config!$G$5:$N$100, 2, FALSE), "기타 효과"))</f>
        <v>공격 증가 [보호막 관통 증폭]</v>
      </c>
    </row>
    <row r="91" spans="1:21" ht="27.6" customHeight="1">
      <c r="A91" s="56" t="s">
        <v>2469</v>
      </c>
      <c r="B91" s="57" t="s">
        <v>2470</v>
      </c>
      <c r="C91" s="88" t="s">
        <v>2471</v>
      </c>
      <c r="D91" s="56" t="s">
        <v>34</v>
      </c>
      <c r="E91" s="56" t="s">
        <v>2202</v>
      </c>
      <c r="F91" s="56" t="s">
        <v>1579</v>
      </c>
      <c r="G91" s="56" t="s">
        <v>45</v>
      </c>
      <c r="H91" s="56">
        <v>2</v>
      </c>
      <c r="I91" s="56"/>
      <c r="J91" s="56">
        <v>0</v>
      </c>
      <c r="K91" s="56"/>
      <c r="L91" s="56"/>
      <c r="M91" s="56">
        <v>0</v>
      </c>
      <c r="N91" s="56">
        <v>0</v>
      </c>
      <c r="O91" s="56">
        <v>-1</v>
      </c>
      <c r="P91" s="56" t="s">
        <v>31</v>
      </c>
      <c r="Q91" s="68">
        <f>IF(E91="OnGainRelic", 0, IF(OR(P91="Quest", P91="Monster", P91="Event", D91="Basic", D91="Upgrade"), -1, MIN(IFERROR(VLOOKUP(D91, Relic_Price_Config!$A$5:$E$9, 4, FALSE), 350), MAX(IFERROR(VLOOKUP(D91, Relic_Price_Config!$A$5:$E$9, 3, FALSE), 210), ROUND((IFERROR(VLOOKUP(F91, Relic_Price_Config!$G$5:$N$100, 4, FALSE), 280) + N(H91) * IFERROR(VLOOKUP(F91, Relic_Price_Config!$G$5:$N$100, 5, FALSE), 10) + ABS(N(M91)) * IFERROR(VLOOKUP(F91, Relic_Price_Config!$G$5:$N$100, 6, FALSE), 15) + IF(N(N91)&gt;1, (N(N91)-1)*10, 0)) * IFERROR(VLOOKUP(D91, Relic_Price_Config!$A$5:$E$9, 2, FALSE), 1), 0)))))</f>
        <v>300</v>
      </c>
      <c r="R91" s="68">
        <f t="shared" si="4"/>
        <v>210</v>
      </c>
      <c r="S91" s="68">
        <f t="shared" si="5"/>
        <v>390</v>
      </c>
      <c r="T91" s="68">
        <f>IF(E91="OnGainRelic", 0, MIN(IFERROR(VLOOKUP(D91, Relic_Price_Config!$A$5:$E$9, 4, FALSE), 350), MAX(IFERROR(VLOOKUP(D91, Relic_Price_Config!$A$5:$E$9, 3, FALSE), 210), ROUND((IFERROR(VLOOKUP(F91, Relic_Price_Config!$G$5:$N$100, 4, FALSE), 280) + N(H91) * IFERROR(VLOOKUP(F91, Relic_Price_Config!$G$5:$N$100, 5, FALSE), 10) + ABS(N(M91)) * IFERROR(VLOOKUP(F91, Relic_Price_Config!$G$5:$N$100, 6, FALSE), 15) + IF(N(N91)&gt;1, (N(N91)-1)*10, 0)) * IFERROR(VLOOKUP(D91, Relic_Price_Config!$A$5:$E$9, 2, FALSE), 1), 0))))</f>
        <v>300</v>
      </c>
      <c r="U91" s="56" t="str">
        <f>IF(E91="OnGainRelic", "획득 시 즉발 (0원)", IFERROR(VLOOKUP(F91, Relic_Price_Config!$G$5:$N$100, 2, FALSE), "기타 효과"))</f>
        <v>방어 관련 [체력 회복]</v>
      </c>
    </row>
    <row r="92" spans="1:21" ht="41.4" customHeight="1">
      <c r="A92" s="56" t="s">
        <v>2472</v>
      </c>
      <c r="B92" s="57" t="s">
        <v>2473</v>
      </c>
      <c r="C92" s="57" t="s">
        <v>2474</v>
      </c>
      <c r="D92" s="56" t="s">
        <v>34</v>
      </c>
      <c r="E92" s="56" t="s">
        <v>2212</v>
      </c>
      <c r="F92" s="56" t="s">
        <v>44</v>
      </c>
      <c r="G92" s="56" t="s">
        <v>45</v>
      </c>
      <c r="H92" s="56">
        <v>1</v>
      </c>
      <c r="I92" s="56"/>
      <c r="J92" s="56">
        <v>0</v>
      </c>
      <c r="K92" s="56"/>
      <c r="L92" s="56"/>
      <c r="M92" s="56">
        <v>0</v>
      </c>
      <c r="N92" s="56">
        <v>0</v>
      </c>
      <c r="O92" s="56">
        <v>-1</v>
      </c>
      <c r="P92" s="56" t="s">
        <v>31</v>
      </c>
      <c r="Q92" s="68">
        <f>IF(E92="OnGainRelic", 0, IF(OR(P92="Quest", P92="Monster", P92="Event", D92="Basic", D92="Upgrade"), -1, MIN(IFERROR(VLOOKUP(D92, Relic_Price_Config!$A$5:$E$9, 4, FALSE), 350), MAX(IFERROR(VLOOKUP(D92, Relic_Price_Config!$A$5:$E$9, 3, FALSE), 210), ROUND((IFERROR(VLOOKUP(F92, Relic_Price_Config!$G$5:$N$100, 4, FALSE), 280) + N(H92) * IFERROR(VLOOKUP(F92, Relic_Price_Config!$G$5:$N$100, 5, FALSE), 10) + ABS(N(M92)) * IFERROR(VLOOKUP(F92, Relic_Price_Config!$G$5:$N$100, 6, FALSE), 15) + IF(N(N92)&gt;1, (N(N92)-1)*10, 0)) * IFERROR(VLOOKUP(D92, Relic_Price_Config!$A$5:$E$9, 2, FALSE), 1), 0)))))</f>
        <v>285</v>
      </c>
      <c r="R92" s="68">
        <f t="shared" si="4"/>
        <v>200</v>
      </c>
      <c r="S92" s="68">
        <f t="shared" si="5"/>
        <v>370</v>
      </c>
      <c r="T92" s="68">
        <f>IF(E92="OnGainRelic", 0, MIN(IFERROR(VLOOKUP(D92, Relic_Price_Config!$A$5:$E$9, 4, FALSE), 350), MAX(IFERROR(VLOOKUP(D92, Relic_Price_Config!$A$5:$E$9, 3, FALSE), 210), ROUND((IFERROR(VLOOKUP(F92, Relic_Price_Config!$G$5:$N$100, 4, FALSE), 280) + N(H92) * IFERROR(VLOOKUP(F92, Relic_Price_Config!$G$5:$N$100, 5, FALSE), 10) + ABS(N(M92)) * IFERROR(VLOOKUP(F92, Relic_Price_Config!$G$5:$N$100, 6, FALSE), 15) + IF(N(N92)&gt;1, (N(N92)-1)*10, 0)) * IFERROR(VLOOKUP(D92, Relic_Price_Config!$A$5:$E$9, 2, FALSE), 1), 0))))</f>
        <v>285</v>
      </c>
      <c r="U92" s="56" t="str">
        <f>IF(E92="OnGainRelic", "획득 시 즉발 (0원)", IFERROR(VLOOKUP(F92, Relic_Price_Config!$G$5:$N$100, 2, FALSE), "기타 효과"))</f>
        <v>방어 관련 [보호막 획득]</v>
      </c>
    </row>
    <row r="93" spans="1:21" ht="27.6" customHeight="1">
      <c r="A93" s="56" t="s">
        <v>2475</v>
      </c>
      <c r="B93" s="57" t="s">
        <v>2476</v>
      </c>
      <c r="C93" s="57" t="s">
        <v>2477</v>
      </c>
      <c r="D93" s="56" t="s">
        <v>34</v>
      </c>
      <c r="E93" s="56" t="s">
        <v>2310</v>
      </c>
      <c r="F93" s="56" t="s">
        <v>1308</v>
      </c>
      <c r="G93" s="56" t="s">
        <v>108</v>
      </c>
      <c r="H93" s="56">
        <v>0</v>
      </c>
      <c r="I93" s="56"/>
      <c r="J93" s="56">
        <v>0</v>
      </c>
      <c r="K93" s="56" t="s">
        <v>130</v>
      </c>
      <c r="L93" s="56"/>
      <c r="M93" s="56">
        <v>1</v>
      </c>
      <c r="N93" s="56">
        <v>1</v>
      </c>
      <c r="O93" s="56">
        <v>-1</v>
      </c>
      <c r="P93" s="56" t="s">
        <v>31</v>
      </c>
      <c r="Q93" s="68">
        <f>IF(E93="OnGainRelic", 0, IF(OR(P93="Quest", P93="Monster", P93="Event", D93="Basic", D93="Upgrade"), -1, MIN(IFERROR(VLOOKUP(D93, Relic_Price_Config!$A$5:$E$9, 4, FALSE), 350), MAX(IFERROR(VLOOKUP(D93, Relic_Price_Config!$A$5:$E$9, 3, FALSE), 210), ROUND((IFERROR(VLOOKUP(F93, Relic_Price_Config!$G$5:$N$100, 4, FALSE), 280) + N(H93) * IFERROR(VLOOKUP(F93, Relic_Price_Config!$G$5:$N$100, 5, FALSE), 10) + ABS(N(M93)) * IFERROR(VLOOKUP(F93, Relic_Price_Config!$G$5:$N$100, 6, FALSE), 15) + IF(N(N93)&gt;1, (N(N93)-1)*10, 0)) * IFERROR(VLOOKUP(D93, Relic_Price_Config!$A$5:$E$9, 2, FALSE), 1), 0)))))</f>
        <v>295</v>
      </c>
      <c r="R93" s="68">
        <f t="shared" si="4"/>
        <v>205</v>
      </c>
      <c r="S93" s="68">
        <f t="shared" si="5"/>
        <v>385</v>
      </c>
      <c r="T93" s="68">
        <f>IF(E93="OnGainRelic", 0, MIN(IFERROR(VLOOKUP(D93, Relic_Price_Config!$A$5:$E$9, 4, FALSE), 350), MAX(IFERROR(VLOOKUP(D93, Relic_Price_Config!$A$5:$E$9, 3, FALSE), 210), ROUND((IFERROR(VLOOKUP(F93, Relic_Price_Config!$G$5:$N$100, 4, FALSE), 280) + N(H93) * IFERROR(VLOOKUP(F93, Relic_Price_Config!$G$5:$N$100, 5, FALSE), 10) + ABS(N(M93)) * IFERROR(VLOOKUP(F93, Relic_Price_Config!$G$5:$N$100, 6, FALSE), 15) + IF(N(N93)&gt;1, (N(N93)-1)*10, 0)) * IFERROR(VLOOKUP(D93, Relic_Price_Config!$A$5:$E$9, 2, FALSE), 1), 0))))</f>
        <v>295</v>
      </c>
      <c r="U93" s="56" t="str">
        <f>IF(E93="OnGainRelic", "획득 시 즉발 (0원)", IFERROR(VLOOKUP(F93, Relic_Price_Config!$G$5:$N$100, 2, FALSE), "기타 효과"))</f>
        <v>공격 증가 [적 방어 스탯 감소]</v>
      </c>
    </row>
    <row r="94" spans="1:21" ht="41.4" customHeight="1">
      <c r="A94" s="56" t="s">
        <v>2478</v>
      </c>
      <c r="B94" s="57" t="s">
        <v>2479</v>
      </c>
      <c r="C94" s="62" t="s">
        <v>2480</v>
      </c>
      <c r="D94" s="56" t="s">
        <v>34</v>
      </c>
      <c r="E94" s="56" t="s">
        <v>2202</v>
      </c>
      <c r="F94" s="56" t="s">
        <v>1520</v>
      </c>
      <c r="G94" s="56" t="s">
        <v>45</v>
      </c>
      <c r="H94" s="56">
        <v>0</v>
      </c>
      <c r="I94" s="56"/>
      <c r="J94" s="56">
        <v>0</v>
      </c>
      <c r="K94" s="56" t="s">
        <v>53</v>
      </c>
      <c r="L94" s="56"/>
      <c r="M94" s="56">
        <v>1</v>
      </c>
      <c r="N94" s="56">
        <v>-1</v>
      </c>
      <c r="O94" s="56">
        <v>-1</v>
      </c>
      <c r="P94" s="56" t="s">
        <v>31</v>
      </c>
      <c r="Q94" s="68">
        <f>IF(E94="OnGainRelic", 0, IF(OR(P94="Quest", P94="Monster", P94="Event", D94="Basic", D94="Upgrade"), -1, MIN(IFERROR(VLOOKUP(D94, Relic_Price_Config!$A$5:$E$9, 4, FALSE), 350), MAX(IFERROR(VLOOKUP(D94, Relic_Price_Config!$A$5:$E$9, 3, FALSE), 210), ROUND((IFERROR(VLOOKUP(F94, Relic_Price_Config!$G$5:$N$100, 4, FALSE), 280) + N(H94) * IFERROR(VLOOKUP(F94, Relic_Price_Config!$G$5:$N$100, 5, FALSE), 10) + ABS(N(M94)) * IFERROR(VLOOKUP(F94, Relic_Price_Config!$G$5:$N$100, 6, FALSE), 15) + IF(N(N94)&gt;1, (N(N94)-1)*10, 0)) * IFERROR(VLOOKUP(D94, Relic_Price_Config!$A$5:$E$9, 2, FALSE), 1), 0)))))</f>
        <v>300</v>
      </c>
      <c r="R94" s="68">
        <f t="shared" si="4"/>
        <v>210</v>
      </c>
      <c r="S94" s="68">
        <f t="shared" si="5"/>
        <v>390</v>
      </c>
      <c r="T94" s="68">
        <f>IF(E94="OnGainRelic", 0, MIN(IFERROR(VLOOKUP(D94, Relic_Price_Config!$A$5:$E$9, 4, FALSE), 350), MAX(IFERROR(VLOOKUP(D94, Relic_Price_Config!$A$5:$E$9, 3, FALSE), 210), ROUND((IFERROR(VLOOKUP(F94, Relic_Price_Config!$G$5:$N$100, 4, FALSE), 280) + N(H94) * IFERROR(VLOOKUP(F94, Relic_Price_Config!$G$5:$N$100, 5, FALSE), 10) + ABS(N(M94)) * IFERROR(VLOOKUP(F94, Relic_Price_Config!$G$5:$N$100, 6, FALSE), 15) + IF(N(N94)&gt;1, (N(N94)-1)*10, 0)) * IFERROR(VLOOKUP(D94, Relic_Price_Config!$A$5:$E$9, 2, FALSE), 1), 0))))</f>
        <v>300</v>
      </c>
      <c r="U94" s="56" t="str">
        <f>IF(E94="OnGainRelic", "획득 시 즉발 (0원)", IFERROR(VLOOKUP(F94, Relic_Price_Config!$G$5:$N$100, 2, FALSE), "기타 효과"))</f>
        <v>방어 관련 [반격 부여]</v>
      </c>
    </row>
    <row r="95" spans="1:21" ht="27.6" customHeight="1">
      <c r="A95" s="56" t="s">
        <v>2481</v>
      </c>
      <c r="B95" s="57" t="s">
        <v>2482</v>
      </c>
      <c r="C95" s="57" t="s">
        <v>2483</v>
      </c>
      <c r="D95" s="56" t="s">
        <v>34</v>
      </c>
      <c r="E95" s="56" t="s">
        <v>2202</v>
      </c>
      <c r="F95" s="56" t="s">
        <v>1371</v>
      </c>
      <c r="G95" s="56" t="s">
        <v>108</v>
      </c>
      <c r="H95" s="56">
        <v>0</v>
      </c>
      <c r="I95" s="56"/>
      <c r="J95" s="56">
        <v>0</v>
      </c>
      <c r="K95" s="56" t="s">
        <v>180</v>
      </c>
      <c r="L95" s="56"/>
      <c r="M95" s="56">
        <v>2</v>
      </c>
      <c r="N95" s="56">
        <v>1</v>
      </c>
      <c r="O95" s="56">
        <v>-1</v>
      </c>
      <c r="P95" s="56" t="s">
        <v>31</v>
      </c>
      <c r="Q95" s="68">
        <f>IF(E95="OnGainRelic", 0, IF(OR(P95="Quest", P95="Monster", P95="Event", D95="Basic", D95="Upgrade"), -1, MIN(IFERROR(VLOOKUP(D95, Relic_Price_Config!$A$5:$E$9, 4, FALSE), 350), MAX(IFERROR(VLOOKUP(D95, Relic_Price_Config!$A$5:$E$9, 3, FALSE), 210), ROUND((IFERROR(VLOOKUP(F95, Relic_Price_Config!$G$5:$N$100, 4, FALSE), 280) + N(H95) * IFERROR(VLOOKUP(F95, Relic_Price_Config!$G$5:$N$100, 5, FALSE), 10) + ABS(N(M95)) * IFERROR(VLOOKUP(F95, Relic_Price_Config!$G$5:$N$100, 6, FALSE), 15) + IF(N(N95)&gt;1, (N(N95)-1)*10, 0)) * IFERROR(VLOOKUP(D95, Relic_Price_Config!$A$5:$E$9, 2, FALSE), 1), 0)))))</f>
        <v>310</v>
      </c>
      <c r="R95" s="68">
        <f t="shared" si="4"/>
        <v>215</v>
      </c>
      <c r="S95" s="68">
        <f t="shared" si="5"/>
        <v>405</v>
      </c>
      <c r="T95" s="68">
        <f>IF(E95="OnGainRelic", 0, MIN(IFERROR(VLOOKUP(D95, Relic_Price_Config!$A$5:$E$9, 4, FALSE), 350), MAX(IFERROR(VLOOKUP(D95, Relic_Price_Config!$A$5:$E$9, 3, FALSE), 210), ROUND((IFERROR(VLOOKUP(F95, Relic_Price_Config!$G$5:$N$100, 4, FALSE), 280) + N(H95) * IFERROR(VLOOKUP(F95, Relic_Price_Config!$G$5:$N$100, 5, FALSE), 10) + ABS(N(M95)) * IFERROR(VLOOKUP(F95, Relic_Price_Config!$G$5:$N$100, 6, FALSE), 15) + IF(N(N95)&gt;1, (N(N95)-1)*10, 0)) * IFERROR(VLOOKUP(D95, Relic_Price_Config!$A$5:$E$9, 2, FALSE), 1), 0))))</f>
        <v>310</v>
      </c>
      <c r="U95" s="56" t="str">
        <f>IF(E95="OnGainRelic", "획득 시 즉발 (0원)", IFERROR(VLOOKUP(F95, Relic_Price_Config!$G$5:$N$100, 2, FALSE), "기타 효과"))</f>
        <v>공격 관련 [적 내상 부여]</v>
      </c>
    </row>
    <row r="96" spans="1:21" ht="41.4" customHeight="1">
      <c r="A96" s="56" t="s">
        <v>2484</v>
      </c>
      <c r="B96" s="57" t="s">
        <v>2485</v>
      </c>
      <c r="C96" s="57" t="s">
        <v>2486</v>
      </c>
      <c r="D96" s="56" t="s">
        <v>208</v>
      </c>
      <c r="E96" s="56" t="s">
        <v>2114</v>
      </c>
      <c r="F96" s="56" t="s">
        <v>70</v>
      </c>
      <c r="G96" s="56" t="s">
        <v>45</v>
      </c>
      <c r="H96" s="56">
        <v>0</v>
      </c>
      <c r="I96" s="56"/>
      <c r="J96" s="56">
        <v>0</v>
      </c>
      <c r="K96" s="56" t="s">
        <v>71</v>
      </c>
      <c r="L96" s="56"/>
      <c r="M96" s="56">
        <v>1</v>
      </c>
      <c r="N96" s="56">
        <v>1</v>
      </c>
      <c r="O96" s="56">
        <v>-1</v>
      </c>
      <c r="P96" s="56" t="s">
        <v>31</v>
      </c>
      <c r="Q96" s="68">
        <f>IF(E96="OnGainRelic", 0, IF(OR(P96="Quest", P96="Monster", P96="Event", D96="Basic", D96="Upgrade"), -1, MIN(IFERROR(VLOOKUP(D96, Relic_Price_Config!$A$5:$E$9, 4, FALSE), 350), MAX(IFERROR(VLOOKUP(D96, Relic_Price_Config!$A$5:$E$9, 3, FALSE), 210), ROUND((IFERROR(VLOOKUP(F96, Relic_Price_Config!$G$5:$N$100, 4, FALSE), 280) + N(H96) * IFERROR(VLOOKUP(F96, Relic_Price_Config!$G$5:$N$100, 5, FALSE), 10) + ABS(N(M96)) * IFERROR(VLOOKUP(F96, Relic_Price_Config!$G$5:$N$100, 6, FALSE), 15) + IF(N(N96)&gt;1, (N(N96)-1)*10, 0)) * IFERROR(VLOOKUP(D96, Relic_Price_Config!$A$5:$E$9, 2, FALSE), 1), 0)))))</f>
        <v>458</v>
      </c>
      <c r="R96" s="68">
        <f t="shared" si="4"/>
        <v>320</v>
      </c>
      <c r="S96" s="68">
        <f t="shared" si="5"/>
        <v>595</v>
      </c>
      <c r="T96" s="68">
        <f>IF(E96="OnGainRelic", 0, MIN(IFERROR(VLOOKUP(D96, Relic_Price_Config!$A$5:$E$9, 4, FALSE), 350), MAX(IFERROR(VLOOKUP(D96, Relic_Price_Config!$A$5:$E$9, 3, FALSE), 210), ROUND((IFERROR(VLOOKUP(F96, Relic_Price_Config!$G$5:$N$100, 4, FALSE), 280) + N(H96) * IFERROR(VLOOKUP(F96, Relic_Price_Config!$G$5:$N$100, 5, FALSE), 10) + ABS(N(M96)) * IFERROR(VLOOKUP(F96, Relic_Price_Config!$G$5:$N$100, 6, FALSE), 15) + IF(N(N96)&gt;1, (N(N96)-1)*10, 0)) * IFERROR(VLOOKUP(D96, Relic_Price_Config!$A$5:$E$9, 2, FALSE), 1), 0))))</f>
        <v>458</v>
      </c>
      <c r="U96" s="56" t="str">
        <f>IF(E96="OnGainRelic", "획득 시 즉발 (0원)", IFERROR(VLOOKUP(F96, Relic_Price_Config!$G$5:$N$100, 2, FALSE), "기타 효과"))</f>
        <v>공격 증가 [아군 공격 상승]</v>
      </c>
    </row>
    <row r="97" spans="1:21" ht="34.799999999999997" customHeight="1">
      <c r="A97" s="56" t="s">
        <v>2487</v>
      </c>
      <c r="B97" s="57" t="s">
        <v>2488</v>
      </c>
      <c r="C97" s="57" t="s">
        <v>2489</v>
      </c>
      <c r="D97" s="56" t="s">
        <v>208</v>
      </c>
      <c r="E97" s="56" t="s">
        <v>2186</v>
      </c>
      <c r="F97" s="56" t="s">
        <v>100</v>
      </c>
      <c r="G97" s="56" t="s">
        <v>45</v>
      </c>
      <c r="H97" s="56">
        <v>0</v>
      </c>
      <c r="I97" s="56"/>
      <c r="J97" s="56">
        <v>0</v>
      </c>
      <c r="K97" s="56" t="s">
        <v>101</v>
      </c>
      <c r="L97" s="56" t="s">
        <v>51</v>
      </c>
      <c r="M97" s="56">
        <v>1</v>
      </c>
      <c r="N97" s="56">
        <v>1</v>
      </c>
      <c r="O97" s="56">
        <v>-1</v>
      </c>
      <c r="P97" s="56" t="s">
        <v>31</v>
      </c>
      <c r="Q97" s="68">
        <f>IF(E97="OnGainRelic", 0, IF(OR(P97="Quest", P97="Monster", P97="Event", D97="Basic", D97="Upgrade"), -1, MIN(IFERROR(VLOOKUP(D97, Relic_Price_Config!$A$5:$E$9, 4, FALSE), 350), MAX(IFERROR(VLOOKUP(D97, Relic_Price_Config!$A$5:$E$9, 3, FALSE), 210), ROUND((IFERROR(VLOOKUP(F97, Relic_Price_Config!$G$5:$N$100, 4, FALSE), 280) + N(H97) * IFERROR(VLOOKUP(F97, Relic_Price_Config!$G$5:$N$100, 5, FALSE), 10) + ABS(N(M97)) * IFERROR(VLOOKUP(F97, Relic_Price_Config!$G$5:$N$100, 6, FALSE), 15) + IF(N(N97)&gt;1, (N(N97)-1)*10, 0)) * IFERROR(VLOOKUP(D97, Relic_Price_Config!$A$5:$E$9, 2, FALSE), 1), 0)))))</f>
        <v>465</v>
      </c>
      <c r="R97" s="68">
        <f t="shared" si="4"/>
        <v>325</v>
      </c>
      <c r="S97" s="68">
        <f t="shared" si="5"/>
        <v>605</v>
      </c>
      <c r="T97" s="68">
        <f>IF(E97="OnGainRelic", 0, MIN(IFERROR(VLOOKUP(D97, Relic_Price_Config!$A$5:$E$9, 4, FALSE), 350), MAX(IFERROR(VLOOKUP(D97, Relic_Price_Config!$A$5:$E$9, 3, FALSE), 210), ROUND((IFERROR(VLOOKUP(F97, Relic_Price_Config!$G$5:$N$100, 4, FALSE), 280) + N(H97) * IFERROR(VLOOKUP(F97, Relic_Price_Config!$G$5:$N$100, 5, FALSE), 10) + ABS(N(M97)) * IFERROR(VLOOKUP(F97, Relic_Price_Config!$G$5:$N$100, 6, FALSE), 15) + IF(N(N97)&gt;1, (N(N97)-1)*10, 0)) * IFERROR(VLOOKUP(D97, Relic_Price_Config!$A$5:$E$9, 2, FALSE), 1), 0))))</f>
        <v>465</v>
      </c>
      <c r="U97" s="56" t="str">
        <f>IF(E97="OnGainRelic", "획득 시 즉발 (0원)", IFERROR(VLOOKUP(F97, Relic_Price_Config!$G$5:$N$100, 2, FALSE), "기타 효과"))</f>
        <v>방어 관련 [회피율 증가]</v>
      </c>
    </row>
    <row r="98" spans="1:21" ht="27.6" customHeight="1">
      <c r="A98" s="56" t="s">
        <v>2490</v>
      </c>
      <c r="B98" s="57" t="s">
        <v>2491</v>
      </c>
      <c r="C98" s="57" t="s">
        <v>2492</v>
      </c>
      <c r="D98" s="56" t="s">
        <v>208</v>
      </c>
      <c r="E98" s="56" t="s">
        <v>2289</v>
      </c>
      <c r="F98" s="56" t="s">
        <v>1860</v>
      </c>
      <c r="G98" s="56" t="s">
        <v>45</v>
      </c>
      <c r="H98" s="56">
        <v>0</v>
      </c>
      <c r="I98" s="56"/>
      <c r="J98" s="56">
        <v>0</v>
      </c>
      <c r="K98" s="56" t="s">
        <v>229</v>
      </c>
      <c r="L98" s="56"/>
      <c r="M98" s="56">
        <v>1</v>
      </c>
      <c r="N98" s="56">
        <v>1</v>
      </c>
      <c r="O98" s="56">
        <v>-1</v>
      </c>
      <c r="P98" s="56" t="s">
        <v>31</v>
      </c>
      <c r="Q98" s="68">
        <f>IF(E98="OnGainRelic", 0, IF(OR(P98="Quest", P98="Monster", P98="Event", D98="Basic", D98="Upgrade"), -1, MIN(IFERROR(VLOOKUP(D98, Relic_Price_Config!$A$5:$E$9, 4, FALSE), 350), MAX(IFERROR(VLOOKUP(D98, Relic_Price_Config!$A$5:$E$9, 3, FALSE), 210), ROUND((IFERROR(VLOOKUP(F98, Relic_Price_Config!$G$5:$N$100, 4, FALSE), 280) + N(H98) * IFERROR(VLOOKUP(F98, Relic_Price_Config!$G$5:$N$100, 5, FALSE), 10) + ABS(N(M98)) * IFERROR(VLOOKUP(F98, Relic_Price_Config!$G$5:$N$100, 6, FALSE), 15) + IF(N(N98)&gt;1, (N(N98)-1)*10, 0)) * IFERROR(VLOOKUP(D98, Relic_Price_Config!$A$5:$E$9, 2, FALSE), 1), 0)))))</f>
        <v>458</v>
      </c>
      <c r="R98" s="68">
        <f t="shared" si="4"/>
        <v>320</v>
      </c>
      <c r="S98" s="68">
        <f t="shared" si="5"/>
        <v>595</v>
      </c>
      <c r="T98" s="68">
        <f>IF(E98="OnGainRelic", 0, MIN(IFERROR(VLOOKUP(D98, Relic_Price_Config!$A$5:$E$9, 4, FALSE), 350), MAX(IFERROR(VLOOKUP(D98, Relic_Price_Config!$A$5:$E$9, 3, FALSE), 210), ROUND((IFERROR(VLOOKUP(F98, Relic_Price_Config!$G$5:$N$100, 4, FALSE), 280) + N(H98) * IFERROR(VLOOKUP(F98, Relic_Price_Config!$G$5:$N$100, 5, FALSE), 10) + ABS(N(M98)) * IFERROR(VLOOKUP(F98, Relic_Price_Config!$G$5:$N$100, 6, FALSE), 15) + IF(N(N98)&gt;1, (N(N98)-1)*10, 0)) * IFERROR(VLOOKUP(D98, Relic_Price_Config!$A$5:$E$9, 2, FALSE), 1), 0))))</f>
        <v>458</v>
      </c>
      <c r="U98" s="56" t="str">
        <f>IF(E98="OnGainRelic", "획득 시 즉발 (0원)", IFERROR(VLOOKUP(F98, Relic_Price_Config!$G$5:$N$100, 2, FALSE), "기타 효과"))</f>
        <v>방어 증가 [아군 방어 상승]</v>
      </c>
    </row>
    <row r="99" spans="1:21" ht="27.6" customHeight="1">
      <c r="A99" s="56" t="s">
        <v>2493</v>
      </c>
      <c r="B99" s="57" t="s">
        <v>2494</v>
      </c>
      <c r="C99" s="62" t="s">
        <v>2495</v>
      </c>
      <c r="D99" s="56" t="s">
        <v>208</v>
      </c>
      <c r="E99" s="56" t="s">
        <v>2279</v>
      </c>
      <c r="F99" s="56" t="s">
        <v>652</v>
      </c>
      <c r="G99" s="56" t="s">
        <v>108</v>
      </c>
      <c r="H99" s="56">
        <v>4</v>
      </c>
      <c r="I99" s="56"/>
      <c r="J99" s="56">
        <v>0</v>
      </c>
      <c r="K99" s="56"/>
      <c r="L99" s="56"/>
      <c r="M99" s="56">
        <v>0</v>
      </c>
      <c r="N99" s="56">
        <v>0</v>
      </c>
      <c r="O99" s="56">
        <v>-1</v>
      </c>
      <c r="P99" s="56" t="s">
        <v>31</v>
      </c>
      <c r="Q99" s="68">
        <f>IF(E99="OnGainRelic", 0, IF(OR(P99="Quest", P99="Monster", P99="Event", D99="Basic", D99="Upgrade"), -1, MIN(IFERROR(VLOOKUP(D99, Relic_Price_Config!$A$5:$E$9, 4, FALSE), 350), MAX(IFERROR(VLOOKUP(D99, Relic_Price_Config!$A$5:$E$9, 3, FALSE), 210), ROUND((IFERROR(VLOOKUP(F99, Relic_Price_Config!$G$5:$N$100, 4, FALSE), 280) + N(H99) * IFERROR(VLOOKUP(F99, Relic_Price_Config!$G$5:$N$100, 5, FALSE), 10) + ABS(N(M99)) * IFERROR(VLOOKUP(F99, Relic_Price_Config!$G$5:$N$100, 6, FALSE), 15) + IF(N(N99)&gt;1, (N(N99)-1)*10, 0)) * IFERROR(VLOOKUP(D99, Relic_Price_Config!$A$5:$E$9, 2, FALSE), 1), 0)))))</f>
        <v>450</v>
      </c>
      <c r="R99" s="68">
        <f t="shared" si="4"/>
        <v>315</v>
      </c>
      <c r="S99" s="68">
        <f t="shared" si="5"/>
        <v>585</v>
      </c>
      <c r="T99" s="68">
        <f>IF(E99="OnGainRelic", 0, MIN(IFERROR(VLOOKUP(D99, Relic_Price_Config!$A$5:$E$9, 4, FALSE), 350), MAX(IFERROR(VLOOKUP(D99, Relic_Price_Config!$A$5:$E$9, 3, FALSE), 210), ROUND((IFERROR(VLOOKUP(F99, Relic_Price_Config!$G$5:$N$100, 4, FALSE), 280) + N(H99) * IFERROR(VLOOKUP(F99, Relic_Price_Config!$G$5:$N$100, 5, FALSE), 10) + ABS(N(M99)) * IFERROR(VLOOKUP(F99, Relic_Price_Config!$G$5:$N$100, 6, FALSE), 15) + IF(N(N99)&gt;1, (N(N99)-1)*10, 0)) * IFERROR(VLOOKUP(D99, Relic_Price_Config!$A$5:$E$9, 2, FALSE), 1), 0))))</f>
        <v>450</v>
      </c>
      <c r="U99" s="56" t="str">
        <f>IF(E99="OnGainRelic", "획득 시 즉발 (0원)", IFERROR(VLOOKUP(F99, Relic_Price_Config!$G$5:$N$100, 2, FALSE), "기타 효과"))</f>
        <v>광역 피해 [전체 데미지]</v>
      </c>
    </row>
    <row r="100" spans="1:21" ht="27.6" customHeight="1">
      <c r="A100" s="56" t="s">
        <v>2496</v>
      </c>
      <c r="B100" s="57" t="s">
        <v>2497</v>
      </c>
      <c r="C100" s="57" t="s">
        <v>2498</v>
      </c>
      <c r="D100" s="56" t="s">
        <v>208</v>
      </c>
      <c r="E100" s="56" t="s">
        <v>2256</v>
      </c>
      <c r="F100" s="56" t="s">
        <v>1371</v>
      </c>
      <c r="G100" s="56" t="s">
        <v>108</v>
      </c>
      <c r="H100" s="56">
        <v>0</v>
      </c>
      <c r="I100" s="56"/>
      <c r="J100" s="56">
        <v>0</v>
      </c>
      <c r="K100" s="56" t="s">
        <v>180</v>
      </c>
      <c r="L100" s="56"/>
      <c r="M100" s="56">
        <v>3</v>
      </c>
      <c r="N100" s="56">
        <v>2</v>
      </c>
      <c r="O100" s="56">
        <v>-1</v>
      </c>
      <c r="P100" s="56" t="s">
        <v>31</v>
      </c>
      <c r="Q100" s="68">
        <f>IF(E100="OnGainRelic", 0, IF(OR(P100="Quest", P100="Monster", P100="Event", D100="Basic", D100="Upgrade"), -1, MIN(IFERROR(VLOOKUP(D100, Relic_Price_Config!$A$5:$E$9, 4, FALSE), 350), MAX(IFERROR(VLOOKUP(D100, Relic_Price_Config!$A$5:$E$9, 3, FALSE), 210), ROUND((IFERROR(VLOOKUP(F100, Relic_Price_Config!$G$5:$N$100, 4, FALSE), 280) + N(H100) * IFERROR(VLOOKUP(F100, Relic_Price_Config!$G$5:$N$100, 5, FALSE), 10) + ABS(N(M100)) * IFERROR(VLOOKUP(F100, Relic_Price_Config!$G$5:$N$100, 6, FALSE), 15) + IF(N(N100)&gt;1, (N(N100)-1)*10, 0)) * IFERROR(VLOOKUP(D100, Relic_Price_Config!$A$5:$E$9, 2, FALSE), 1), 0)))))</f>
        <v>503</v>
      </c>
      <c r="R100" s="68">
        <f t="shared" ref="R100:R131" si="6">IF(OR(E100="OnGainRelic", O100&gt;0), 0, ROUND((IF(Q100&gt;0, Q100, T100)*0.7)/5, 0)*5)</f>
        <v>350</v>
      </c>
      <c r="S100" s="68">
        <f t="shared" ref="S100:S131" si="7">IF(OR(E100="OnGainRelic", O100&gt;0), 0, ROUND((IF(Q100&gt;0, Q100, T100)*1.3)/5, 0)*5)</f>
        <v>655</v>
      </c>
      <c r="T100" s="68">
        <f>IF(E100="OnGainRelic", 0, MIN(IFERROR(VLOOKUP(D100, Relic_Price_Config!$A$5:$E$9, 4, FALSE), 350), MAX(IFERROR(VLOOKUP(D100, Relic_Price_Config!$A$5:$E$9, 3, FALSE), 210), ROUND((IFERROR(VLOOKUP(F100, Relic_Price_Config!$G$5:$N$100, 4, FALSE), 280) + N(H100) * IFERROR(VLOOKUP(F100, Relic_Price_Config!$G$5:$N$100, 5, FALSE), 10) + ABS(N(M100)) * IFERROR(VLOOKUP(F100, Relic_Price_Config!$G$5:$N$100, 6, FALSE), 15) + IF(N(N100)&gt;1, (N(N100)-1)*10, 0)) * IFERROR(VLOOKUP(D100, Relic_Price_Config!$A$5:$E$9, 2, FALSE), 1), 0))))</f>
        <v>503</v>
      </c>
      <c r="U100" s="56" t="str">
        <f>IF(E100="OnGainRelic", "획득 시 즉발 (0원)", IFERROR(VLOOKUP(F100, Relic_Price_Config!$G$5:$N$100, 2, FALSE), "기타 효과"))</f>
        <v>공격 관련 [적 내상 부여]</v>
      </c>
    </row>
    <row r="101" spans="1:21" ht="27.6" customHeight="1">
      <c r="A101" s="56" t="s">
        <v>2499</v>
      </c>
      <c r="B101" s="57" t="s">
        <v>2500</v>
      </c>
      <c r="C101" s="62" t="s">
        <v>2501</v>
      </c>
      <c r="D101" s="56" t="s">
        <v>295</v>
      </c>
      <c r="E101" s="56" t="s">
        <v>2114</v>
      </c>
      <c r="F101" s="56" t="s">
        <v>2034</v>
      </c>
      <c r="G101" s="56" t="s">
        <v>45</v>
      </c>
      <c r="H101" s="56">
        <v>1</v>
      </c>
      <c r="I101" s="56"/>
      <c r="J101" s="56">
        <v>0</v>
      </c>
      <c r="K101" s="56" t="s">
        <v>71</v>
      </c>
      <c r="L101" s="56"/>
      <c r="M101" s="56">
        <v>1</v>
      </c>
      <c r="N101" s="56">
        <v>1</v>
      </c>
      <c r="O101" s="56">
        <v>-1</v>
      </c>
      <c r="P101" s="56" t="s">
        <v>31</v>
      </c>
      <c r="Q101" s="68">
        <f>IF(E101="OnGainRelic", 0, IF(OR(P101="Quest", P101="Monster", P101="Event", D101="Basic", D101="Upgrade"), -1, MIN(IFERROR(VLOOKUP(D101, Relic_Price_Config!$A$5:$E$9, 4, FALSE), 350), MAX(IFERROR(VLOOKUP(D101, Relic_Price_Config!$A$5:$E$9, 3, FALSE), 210), ROUND((IFERROR(VLOOKUP(F101, Relic_Price_Config!$G$5:$N$100, 4, FALSE), 280) + N(H101) * IFERROR(VLOOKUP(F101, Relic_Price_Config!$G$5:$N$100, 5, FALSE), 10) + ABS(N(M101)) * IFERROR(VLOOKUP(F101, Relic_Price_Config!$G$5:$N$100, 6, FALSE), 15) + IF(N(N101)&gt;1, (N(N101)-1)*10, 0)) * IFERROR(VLOOKUP(D101, Relic_Price_Config!$A$5:$E$9, 2, FALSE), 1), 0)))))</f>
        <v>620</v>
      </c>
      <c r="R101" s="68">
        <f t="shared" si="6"/>
        <v>435</v>
      </c>
      <c r="S101" s="68">
        <f t="shared" si="7"/>
        <v>805</v>
      </c>
      <c r="T101" s="68">
        <f>IF(E101="OnGainRelic", 0, MIN(IFERROR(VLOOKUP(D101, Relic_Price_Config!$A$5:$E$9, 4, FALSE), 350), MAX(IFERROR(VLOOKUP(D101, Relic_Price_Config!$A$5:$E$9, 3, FALSE), 210), ROUND((IFERROR(VLOOKUP(F101, Relic_Price_Config!$G$5:$N$100, 4, FALSE), 280) + N(H101) * IFERROR(VLOOKUP(F101, Relic_Price_Config!$G$5:$N$100, 5, FALSE), 10) + ABS(N(M101)) * IFERROR(VLOOKUP(F101, Relic_Price_Config!$G$5:$N$100, 6, FALSE), 15) + IF(N(N101)&gt;1, (N(N101)-1)*10, 0)) * IFERROR(VLOOKUP(D101, Relic_Price_Config!$A$5:$E$9, 2, FALSE), 1), 0))))</f>
        <v>620</v>
      </c>
      <c r="U101" s="56" t="str">
        <f>IF(E101="OnGainRelic", "획득 시 즉발 (0원)", IFERROR(VLOOKUP(F101, Relic_Price_Config!$G$5:$N$100, 2, FALSE), "기타 효과"))</f>
        <v>복합 효과 [체력 회복 + 공격 상승]</v>
      </c>
    </row>
    <row r="102" spans="1:21" ht="41.4" customHeight="1">
      <c r="A102" s="56" t="s">
        <v>2502</v>
      </c>
      <c r="B102" s="57" t="s">
        <v>2503</v>
      </c>
      <c r="C102" s="88" t="s">
        <v>2504</v>
      </c>
      <c r="D102" s="56" t="s">
        <v>295</v>
      </c>
      <c r="E102" s="56" t="s">
        <v>2202</v>
      </c>
      <c r="F102" s="56" t="s">
        <v>70</v>
      </c>
      <c r="G102" s="56" t="s">
        <v>45</v>
      </c>
      <c r="H102" s="56">
        <v>0</v>
      </c>
      <c r="I102" s="56"/>
      <c r="J102" s="56">
        <v>0</v>
      </c>
      <c r="K102" s="56" t="s">
        <v>71</v>
      </c>
      <c r="L102" s="56"/>
      <c r="M102" s="56">
        <v>2</v>
      </c>
      <c r="N102" s="56">
        <v>-1</v>
      </c>
      <c r="O102" s="56">
        <v>-1</v>
      </c>
      <c r="P102" s="56" t="s">
        <v>31</v>
      </c>
      <c r="Q102" s="68">
        <f>IF(E102="OnGainRelic", 0, IF(OR(P102="Quest", P102="Monster", P102="Event", D102="Basic", D102="Upgrade"), -1, MIN(IFERROR(VLOOKUP(D102, Relic_Price_Config!$A$5:$E$9, 4, FALSE), 350), MAX(IFERROR(VLOOKUP(D102, Relic_Price_Config!$A$5:$E$9, 3, FALSE), 210), ROUND((IFERROR(VLOOKUP(F102, Relic_Price_Config!$G$5:$N$100, 4, FALSE), 280) + N(H102) * IFERROR(VLOOKUP(F102, Relic_Price_Config!$G$5:$N$100, 5, FALSE), 10) + ABS(N(M102)) * IFERROR(VLOOKUP(F102, Relic_Price_Config!$G$5:$N$100, 6, FALSE), 15) + IF(N(N102)&gt;1, (N(N102)-1)*10, 0)) * IFERROR(VLOOKUP(D102, Relic_Price_Config!$A$5:$E$9, 2, FALSE), 1), 0)))))</f>
        <v>660</v>
      </c>
      <c r="R102" s="68">
        <f t="shared" si="6"/>
        <v>460</v>
      </c>
      <c r="S102" s="68">
        <f t="shared" si="7"/>
        <v>860</v>
      </c>
      <c r="T102" s="68">
        <f>IF(E102="OnGainRelic", 0, MIN(IFERROR(VLOOKUP(D102, Relic_Price_Config!$A$5:$E$9, 4, FALSE), 350), MAX(IFERROR(VLOOKUP(D102, Relic_Price_Config!$A$5:$E$9, 3, FALSE), 210), ROUND((IFERROR(VLOOKUP(F102, Relic_Price_Config!$G$5:$N$100, 4, FALSE), 280) + N(H102) * IFERROR(VLOOKUP(F102, Relic_Price_Config!$G$5:$N$100, 5, FALSE), 10) + ABS(N(M102)) * IFERROR(VLOOKUP(F102, Relic_Price_Config!$G$5:$N$100, 6, FALSE), 15) + IF(N(N102)&gt;1, (N(N102)-1)*10, 0)) * IFERROR(VLOOKUP(D102, Relic_Price_Config!$A$5:$E$9, 2, FALSE), 1), 0))))</f>
        <v>660</v>
      </c>
      <c r="U102" s="56" t="str">
        <f>IF(E102="OnGainRelic", "획득 시 즉발 (0원)", IFERROR(VLOOKUP(F102, Relic_Price_Config!$G$5:$N$100, 2, FALSE), "기타 효과"))</f>
        <v>공격 증가 [아군 공격 상승]</v>
      </c>
    </row>
    <row r="103" spans="1:21" ht="41.4" customHeight="1">
      <c r="A103" s="56" t="s">
        <v>2505</v>
      </c>
      <c r="B103" s="57" t="s">
        <v>2506</v>
      </c>
      <c r="C103" s="62" t="s">
        <v>2507</v>
      </c>
      <c r="D103" s="56" t="s">
        <v>295</v>
      </c>
      <c r="E103" s="56" t="s">
        <v>2260</v>
      </c>
      <c r="F103" s="56" t="s">
        <v>1327</v>
      </c>
      <c r="G103" s="56" t="s">
        <v>45</v>
      </c>
      <c r="H103" s="56">
        <v>0</v>
      </c>
      <c r="I103" s="56"/>
      <c r="J103" s="56">
        <v>0</v>
      </c>
      <c r="K103" s="56" t="s">
        <v>316</v>
      </c>
      <c r="L103" s="56"/>
      <c r="M103" s="56">
        <v>3</v>
      </c>
      <c r="N103" s="56">
        <v>3</v>
      </c>
      <c r="O103" s="56">
        <v>-1</v>
      </c>
      <c r="P103" s="56" t="s">
        <v>31</v>
      </c>
      <c r="Q103" s="68">
        <f>IF(E103="OnGainRelic", 0, IF(OR(P103="Quest", P103="Monster", P103="Event", D103="Basic", D103="Upgrade"), -1, MIN(IFERROR(VLOOKUP(D103, Relic_Price_Config!$A$5:$E$9, 4, FALSE), 350), MAX(IFERROR(VLOOKUP(D103, Relic_Price_Config!$A$5:$E$9, 3, FALSE), 210), ROUND((IFERROR(VLOOKUP(F103, Relic_Price_Config!$G$5:$N$100, 4, FALSE), 280) + N(H103) * IFERROR(VLOOKUP(F103, Relic_Price_Config!$G$5:$N$100, 5, FALSE), 10) + ABS(N(M103)) * IFERROR(VLOOKUP(F103, Relic_Price_Config!$G$5:$N$100, 6, FALSE), 15) + IF(N(N103)&gt;1, (N(N103)-1)*10, 0)) * IFERROR(VLOOKUP(D103, Relic_Price_Config!$A$5:$E$9, 2, FALSE), 1), 0)))))</f>
        <v>700</v>
      </c>
      <c r="R103" s="68">
        <f t="shared" si="6"/>
        <v>490</v>
      </c>
      <c r="S103" s="68">
        <f t="shared" si="7"/>
        <v>910</v>
      </c>
      <c r="T103" s="68">
        <f>IF(E103="OnGainRelic", 0, MIN(IFERROR(VLOOKUP(D103, Relic_Price_Config!$A$5:$E$9, 4, FALSE), 350), MAX(IFERROR(VLOOKUP(D103, Relic_Price_Config!$A$5:$E$9, 3, FALSE), 210), ROUND((IFERROR(VLOOKUP(F103, Relic_Price_Config!$G$5:$N$100, 4, FALSE), 280) + N(H103) * IFERROR(VLOOKUP(F103, Relic_Price_Config!$G$5:$N$100, 5, FALSE), 10) + ABS(N(M103)) * IFERROR(VLOOKUP(F103, Relic_Price_Config!$G$5:$N$100, 6, FALSE), 15) + IF(N(N103)&gt;1, (N(N103)-1)*10, 0)) * IFERROR(VLOOKUP(D103, Relic_Price_Config!$A$5:$E$9, 2, FALSE), 1), 0))))</f>
        <v>700</v>
      </c>
      <c r="U103" s="56" t="str">
        <f>IF(E103="OnGainRelic", "획득 시 즉발 (0원)", IFERROR(VLOOKUP(F103, Relic_Price_Config!$G$5:$N$100, 2, FALSE), "기타 효과"))</f>
        <v>방어 증가 [받는 피해 감소]</v>
      </c>
    </row>
    <row r="104" spans="1:21" ht="27.6" customHeight="1">
      <c r="A104" s="56" t="s">
        <v>2508</v>
      </c>
      <c r="B104" s="57" t="s">
        <v>2509</v>
      </c>
      <c r="C104" s="88" t="s">
        <v>2510</v>
      </c>
      <c r="D104" s="56" t="s">
        <v>295</v>
      </c>
      <c r="E104" s="56" t="s">
        <v>2202</v>
      </c>
      <c r="F104" s="56" t="s">
        <v>1520</v>
      </c>
      <c r="G104" s="56" t="s">
        <v>45</v>
      </c>
      <c r="H104" s="56">
        <v>0</v>
      </c>
      <c r="I104" s="56"/>
      <c r="J104" s="56">
        <v>0</v>
      </c>
      <c r="K104" s="56" t="s">
        <v>53</v>
      </c>
      <c r="L104" s="56"/>
      <c r="M104" s="56">
        <v>3</v>
      </c>
      <c r="N104" s="56">
        <v>-1</v>
      </c>
      <c r="O104" s="56">
        <v>-1</v>
      </c>
      <c r="P104" s="56" t="s">
        <v>31</v>
      </c>
      <c r="Q104" s="68">
        <f>IF(E104="OnGainRelic", 0, IF(OR(P104="Quest", P104="Monster", P104="Event", D104="Basic", D104="Upgrade"), -1, MIN(IFERROR(VLOOKUP(D104, Relic_Price_Config!$A$5:$E$9, 4, FALSE), 350), MAX(IFERROR(VLOOKUP(D104, Relic_Price_Config!$A$5:$E$9, 3, FALSE), 210), ROUND((IFERROR(VLOOKUP(F104, Relic_Price_Config!$G$5:$N$100, 4, FALSE), 280) + N(H104) * IFERROR(VLOOKUP(F104, Relic_Price_Config!$G$5:$N$100, 5, FALSE), 10) + ABS(N(M104)) * IFERROR(VLOOKUP(F104, Relic_Price_Config!$G$5:$N$100, 6, FALSE), 15) + IF(N(N104)&gt;1, (N(N104)-1)*10, 0)) * IFERROR(VLOOKUP(D104, Relic_Price_Config!$A$5:$E$9, 2, FALSE), 1), 0)))))</f>
        <v>680</v>
      </c>
      <c r="R104" s="68">
        <f t="shared" si="6"/>
        <v>475</v>
      </c>
      <c r="S104" s="68">
        <f t="shared" si="7"/>
        <v>885</v>
      </c>
      <c r="T104" s="68">
        <f>IF(E104="OnGainRelic", 0, MIN(IFERROR(VLOOKUP(D104, Relic_Price_Config!$A$5:$E$9, 4, FALSE), 350), MAX(IFERROR(VLOOKUP(D104, Relic_Price_Config!$A$5:$E$9, 3, FALSE), 210), ROUND((IFERROR(VLOOKUP(F104, Relic_Price_Config!$G$5:$N$100, 4, FALSE), 280) + N(H104) * IFERROR(VLOOKUP(F104, Relic_Price_Config!$G$5:$N$100, 5, FALSE), 10) + ABS(N(M104)) * IFERROR(VLOOKUP(F104, Relic_Price_Config!$G$5:$N$100, 6, FALSE), 15) + IF(N(N104)&gt;1, (N(N104)-1)*10, 0)) * IFERROR(VLOOKUP(D104, Relic_Price_Config!$A$5:$E$9, 2, FALSE), 1), 0))))</f>
        <v>680</v>
      </c>
      <c r="U104" s="56" t="str">
        <f>IF(E104="OnGainRelic", "획득 시 즉발 (0원)", IFERROR(VLOOKUP(F104, Relic_Price_Config!$G$5:$N$100, 2, FALSE), "기타 효과"))</f>
        <v>방어 관련 [반격 부여]</v>
      </c>
    </row>
    <row r="105" spans="1:21" ht="27.6" customHeight="1">
      <c r="A105" s="56" t="s">
        <v>2511</v>
      </c>
      <c r="B105" s="62" t="s">
        <v>2512</v>
      </c>
      <c r="C105" s="57" t="s">
        <v>2409</v>
      </c>
      <c r="D105" s="56" t="s">
        <v>295</v>
      </c>
      <c r="E105" s="56" t="s">
        <v>2310</v>
      </c>
      <c r="F105" s="56" t="s">
        <v>418</v>
      </c>
      <c r="G105" s="56" t="s">
        <v>108</v>
      </c>
      <c r="H105" s="56">
        <v>0</v>
      </c>
      <c r="I105" s="56"/>
      <c r="J105" s="56">
        <v>0</v>
      </c>
      <c r="K105" s="56" t="s">
        <v>94</v>
      </c>
      <c r="L105" s="56"/>
      <c r="M105" s="56">
        <v>1</v>
      </c>
      <c r="N105" s="56">
        <v>1</v>
      </c>
      <c r="O105" s="56">
        <v>-1</v>
      </c>
      <c r="P105" s="56" t="s">
        <v>31</v>
      </c>
      <c r="Q105" s="68">
        <f>IF(E105="OnGainRelic", 0, IF(OR(P105="Quest", P105="Monster", P105="Event", D105="Basic", D105="Upgrade"), -1, MIN(IFERROR(VLOOKUP(D105, Relic_Price_Config!$A$5:$E$9, 4, FALSE), 350), MAX(IFERROR(VLOOKUP(D105, Relic_Price_Config!$A$5:$E$9, 3, FALSE), 210), ROUND((IFERROR(VLOOKUP(F105, Relic_Price_Config!$G$5:$N$100, 4, FALSE), 280) + N(H105) * IFERROR(VLOOKUP(F105, Relic_Price_Config!$G$5:$N$100, 5, FALSE), 10) + ABS(N(M105)) * IFERROR(VLOOKUP(F105, Relic_Price_Config!$G$5:$N$100, 6, FALSE), 15) + IF(N(N105)&gt;1, (N(N105)-1)*10, 0)) * IFERROR(VLOOKUP(D105, Relic_Price_Config!$A$5:$E$9, 2, FALSE), 1), 0)))))</f>
        <v>620</v>
      </c>
      <c r="R105" s="68">
        <f t="shared" si="6"/>
        <v>435</v>
      </c>
      <c r="S105" s="68">
        <f t="shared" si="7"/>
        <v>805</v>
      </c>
      <c r="T105" s="68">
        <f>IF(E105="OnGainRelic", 0, MIN(IFERROR(VLOOKUP(D105, Relic_Price_Config!$A$5:$E$9, 4, FALSE), 350), MAX(IFERROR(VLOOKUP(D105, Relic_Price_Config!$A$5:$E$9, 3, FALSE), 210), ROUND((IFERROR(VLOOKUP(F105, Relic_Price_Config!$G$5:$N$100, 4, FALSE), 280) + N(H105) * IFERROR(VLOOKUP(F105, Relic_Price_Config!$G$5:$N$100, 5, FALSE), 10) + ABS(N(M105)) * IFERROR(VLOOKUP(F105, Relic_Price_Config!$G$5:$N$100, 6, FALSE), 15) + IF(N(N105)&gt;1, (N(N105)-1)*10, 0)) * IFERROR(VLOOKUP(D105, Relic_Price_Config!$A$5:$E$9, 2, FALSE), 1), 0))))</f>
        <v>620</v>
      </c>
      <c r="U105" s="56" t="str">
        <f>IF(E105="OnGainRelic", "획득 시 즉발 (0원)", IFERROR(VLOOKUP(F105, Relic_Price_Config!$G$5:$N$100, 2, FALSE), "기타 효과"))</f>
        <v>공격 증가 [적 받는 피해 증가]</v>
      </c>
    </row>
    <row r="106" spans="1:21" ht="27.6" customHeight="1">
      <c r="A106" s="56" t="s">
        <v>2513</v>
      </c>
      <c r="B106" s="57" t="s">
        <v>2514</v>
      </c>
      <c r="C106" s="62" t="s">
        <v>2515</v>
      </c>
      <c r="D106" s="56" t="s">
        <v>32</v>
      </c>
      <c r="E106" s="56" t="s">
        <v>2289</v>
      </c>
      <c r="F106" s="56" t="s">
        <v>1579</v>
      </c>
      <c r="G106" s="56" t="s">
        <v>45</v>
      </c>
      <c r="H106" s="56">
        <v>2</v>
      </c>
      <c r="I106" s="56"/>
      <c r="J106" s="56">
        <v>0</v>
      </c>
      <c r="K106" s="56"/>
      <c r="L106" s="56"/>
      <c r="M106" s="56">
        <v>0</v>
      </c>
      <c r="N106" s="56">
        <v>0</v>
      </c>
      <c r="O106" s="56">
        <v>-1</v>
      </c>
      <c r="P106" s="56" t="s">
        <v>76</v>
      </c>
      <c r="Q106" s="68">
        <f>IF(E106="OnGainRelic", 0, IF(OR(P106="Quest", P106="Monster", P106="Event", D106="Basic", D106="Upgrade"), -1, MIN(IFERROR(VLOOKUP(D106, Relic_Price_Config!$A$5:$E$9, 4, FALSE), 350), MAX(IFERROR(VLOOKUP(D106, Relic_Price_Config!$A$5:$E$9, 3, FALSE), 210), ROUND((IFERROR(VLOOKUP(F106, Relic_Price_Config!$G$5:$N$100, 4, FALSE), 280) + N(H106) * IFERROR(VLOOKUP(F106, Relic_Price_Config!$G$5:$N$100, 5, FALSE), 10) + ABS(N(M106)) * IFERROR(VLOOKUP(F106, Relic_Price_Config!$G$5:$N$100, 6, FALSE), 15) + IF(N(N106)&gt;1, (N(N106)-1)*10, 0)) * IFERROR(VLOOKUP(D106, Relic_Price_Config!$A$5:$E$9, 2, FALSE), 1), 0)))))</f>
        <v>-1</v>
      </c>
      <c r="R106" s="68">
        <f t="shared" si="6"/>
        <v>210</v>
      </c>
      <c r="S106" s="68">
        <f t="shared" si="7"/>
        <v>390</v>
      </c>
      <c r="T106" s="68">
        <f>IF(E106="OnGainRelic", 0, MIN(IFERROR(VLOOKUP(D106, Relic_Price_Config!$A$5:$E$9, 4, FALSE), 350), MAX(IFERROR(VLOOKUP(D106, Relic_Price_Config!$A$5:$E$9, 3, FALSE), 210), ROUND((IFERROR(VLOOKUP(F106, Relic_Price_Config!$G$5:$N$100, 4, FALSE), 280) + N(H106) * IFERROR(VLOOKUP(F106, Relic_Price_Config!$G$5:$N$100, 5, FALSE), 10) + ABS(N(M106)) * IFERROR(VLOOKUP(F106, Relic_Price_Config!$G$5:$N$100, 6, FALSE), 15) + IF(N(N106)&gt;1, (N(N106)-1)*10, 0)) * IFERROR(VLOOKUP(D106, Relic_Price_Config!$A$5:$E$9, 2, FALSE), 1), 0))))</f>
        <v>300</v>
      </c>
      <c r="U106" s="56" t="str">
        <f>IF(E106="OnGainRelic", "획득 시 즉발 (0원)", IFERROR(VLOOKUP(F106, Relic_Price_Config!$G$5:$N$100, 2, FALSE), "기타 효과"))</f>
        <v>방어 관련 [체력 회복]</v>
      </c>
    </row>
    <row r="107" spans="1:21" ht="27.6" customHeight="1">
      <c r="A107" s="56" t="s">
        <v>2516</v>
      </c>
      <c r="B107" s="57" t="s">
        <v>2517</v>
      </c>
      <c r="C107" s="62" t="s">
        <v>2518</v>
      </c>
      <c r="D107" s="56" t="s">
        <v>1716</v>
      </c>
      <c r="E107" s="56" t="s">
        <v>2289</v>
      </c>
      <c r="F107" s="56" t="s">
        <v>1579</v>
      </c>
      <c r="G107" s="56" t="s">
        <v>45</v>
      </c>
      <c r="H107" s="56">
        <v>3</v>
      </c>
      <c r="I107" s="56"/>
      <c r="J107" s="56">
        <v>0</v>
      </c>
      <c r="K107" s="56"/>
      <c r="L107" s="56"/>
      <c r="M107" s="56">
        <v>0</v>
      </c>
      <c r="N107" s="56">
        <v>0</v>
      </c>
      <c r="O107" s="56">
        <v>-1</v>
      </c>
      <c r="P107" s="56" t="s">
        <v>76</v>
      </c>
      <c r="Q107" s="68">
        <f>IF(E107="OnGainRelic", 0, IF(OR(P107="Quest", P107="Monster", P107="Event", D107="Basic", D107="Upgrade"), -1, MIN(IFERROR(VLOOKUP(D107, Relic_Price_Config!$A$5:$E$9, 4, FALSE), 350), MAX(IFERROR(VLOOKUP(D107, Relic_Price_Config!$A$5:$E$9, 3, FALSE), 210), ROUND((IFERROR(VLOOKUP(F107, Relic_Price_Config!$G$5:$N$100, 4, FALSE), 280) + N(H107) * IFERROR(VLOOKUP(F107, Relic_Price_Config!$G$5:$N$100, 5, FALSE), 10) + ABS(N(M107)) * IFERROR(VLOOKUP(F107, Relic_Price_Config!$G$5:$N$100, 6, FALSE), 15) + IF(N(N107)&gt;1, (N(N107)-1)*10, 0)) * IFERROR(VLOOKUP(D107, Relic_Price_Config!$A$5:$E$9, 2, FALSE), 1), 0)))))</f>
        <v>-1</v>
      </c>
      <c r="R107" s="68">
        <f t="shared" si="6"/>
        <v>330</v>
      </c>
      <c r="S107" s="68">
        <f t="shared" si="7"/>
        <v>615</v>
      </c>
      <c r="T107" s="68">
        <f>IF(E107="OnGainRelic", 0, MIN(IFERROR(VLOOKUP(D107, Relic_Price_Config!$A$5:$E$9, 4, FALSE), 350), MAX(IFERROR(VLOOKUP(D107, Relic_Price_Config!$A$5:$E$9, 3, FALSE), 210), ROUND((IFERROR(VLOOKUP(F107, Relic_Price_Config!$G$5:$N$100, 4, FALSE), 280) + N(H107) * IFERROR(VLOOKUP(F107, Relic_Price_Config!$G$5:$N$100, 5, FALSE), 10) + ABS(N(M107)) * IFERROR(VLOOKUP(F107, Relic_Price_Config!$G$5:$N$100, 6, FALSE), 15) + IF(N(N107)&gt;1, (N(N107)-1)*10, 0)) * IFERROR(VLOOKUP(D107, Relic_Price_Config!$A$5:$E$9, 2, FALSE), 1), 0))))</f>
        <v>473</v>
      </c>
      <c r="U107" s="56" t="str">
        <f>IF(E107="OnGainRelic", "획득 시 즉발 (0원)", IFERROR(VLOOKUP(F107, Relic_Price_Config!$G$5:$N$100, 2, FALSE), "기타 효과"))</f>
        <v>방어 관련 [체력 회복]</v>
      </c>
    </row>
    <row r="108" spans="1:21" ht="41.4" customHeight="1">
      <c r="A108" s="56" t="s">
        <v>2519</v>
      </c>
      <c r="B108" s="57" t="s">
        <v>2520</v>
      </c>
      <c r="C108" s="62" t="s">
        <v>2521</v>
      </c>
      <c r="D108" s="56" t="s">
        <v>34</v>
      </c>
      <c r="E108" s="56" t="s">
        <v>2279</v>
      </c>
      <c r="F108" s="56" t="s">
        <v>652</v>
      </c>
      <c r="G108" s="56" t="s">
        <v>108</v>
      </c>
      <c r="H108" s="56">
        <v>2</v>
      </c>
      <c r="I108" s="56"/>
      <c r="J108" s="56">
        <v>0</v>
      </c>
      <c r="K108" s="56"/>
      <c r="L108" s="56"/>
      <c r="M108" s="56">
        <v>0</v>
      </c>
      <c r="N108" s="56">
        <v>0</v>
      </c>
      <c r="O108" s="56">
        <v>-1</v>
      </c>
      <c r="P108" s="56" t="s">
        <v>76</v>
      </c>
      <c r="Q108" s="68">
        <f>IF(E108="OnGainRelic", 0, IF(OR(P108="Quest", P108="Monster", P108="Event", D108="Basic", D108="Upgrade"), -1, MIN(IFERROR(VLOOKUP(D108, Relic_Price_Config!$A$5:$E$9, 4, FALSE), 350), MAX(IFERROR(VLOOKUP(D108, Relic_Price_Config!$A$5:$E$9, 3, FALSE), 210), ROUND((IFERROR(VLOOKUP(F108, Relic_Price_Config!$G$5:$N$100, 4, FALSE), 280) + N(H108) * IFERROR(VLOOKUP(F108, Relic_Price_Config!$G$5:$N$100, 5, FALSE), 10) + ABS(N(M108)) * IFERROR(VLOOKUP(F108, Relic_Price_Config!$G$5:$N$100, 6, FALSE), 15) + IF(N(N108)&gt;1, (N(N108)-1)*10, 0)) * IFERROR(VLOOKUP(D108, Relic_Price_Config!$A$5:$E$9, 2, FALSE), 1), 0)))))</f>
        <v>280</v>
      </c>
      <c r="R108" s="68">
        <f t="shared" si="6"/>
        <v>195</v>
      </c>
      <c r="S108" s="68">
        <f t="shared" si="7"/>
        <v>365</v>
      </c>
      <c r="T108" s="68">
        <f>IF(E108="OnGainRelic", 0, MIN(IFERROR(VLOOKUP(D108, Relic_Price_Config!$A$5:$E$9, 4, FALSE), 350), MAX(IFERROR(VLOOKUP(D108, Relic_Price_Config!$A$5:$E$9, 3, FALSE), 210), ROUND((IFERROR(VLOOKUP(F108, Relic_Price_Config!$G$5:$N$100, 4, FALSE), 280) + N(H108) * IFERROR(VLOOKUP(F108, Relic_Price_Config!$G$5:$N$100, 5, FALSE), 10) + ABS(N(M108)) * IFERROR(VLOOKUP(F108, Relic_Price_Config!$G$5:$N$100, 6, FALSE), 15) + IF(N(N108)&gt;1, (N(N108)-1)*10, 0)) * IFERROR(VLOOKUP(D108, Relic_Price_Config!$A$5:$E$9, 2, FALSE), 1), 0))))</f>
        <v>280</v>
      </c>
      <c r="U108" s="56" t="str">
        <f>IF(E108="OnGainRelic", "획득 시 즉발 (0원)", IFERROR(VLOOKUP(F108, Relic_Price_Config!$G$5:$N$100, 2, FALSE), "기타 효과"))</f>
        <v>광역 피해 [전체 데미지]</v>
      </c>
    </row>
    <row r="109" spans="1:21" ht="41.4" customHeight="1">
      <c r="A109" s="56" t="s">
        <v>2522</v>
      </c>
      <c r="B109" s="57" t="s">
        <v>2523</v>
      </c>
      <c r="C109" s="57" t="s">
        <v>2524</v>
      </c>
      <c r="D109" s="56" t="s">
        <v>34</v>
      </c>
      <c r="E109" s="56" t="s">
        <v>2202</v>
      </c>
      <c r="F109" s="56" t="s">
        <v>789</v>
      </c>
      <c r="G109" s="56" t="s">
        <v>45</v>
      </c>
      <c r="H109" s="56">
        <v>0</v>
      </c>
      <c r="I109" s="56"/>
      <c r="J109" s="56">
        <v>0</v>
      </c>
      <c r="K109" s="56" t="s">
        <v>329</v>
      </c>
      <c r="L109" s="56"/>
      <c r="M109" s="56">
        <v>0</v>
      </c>
      <c r="N109" s="56">
        <v>1</v>
      </c>
      <c r="O109" s="56">
        <v>-1</v>
      </c>
      <c r="P109" s="56" t="s">
        <v>76</v>
      </c>
      <c r="Q109" s="68">
        <f>IF(E109="OnGainRelic", 0, IF(OR(P109="Quest", P109="Monster", P109="Event", D109="Basic", D109="Upgrade"), -1, MIN(IFERROR(VLOOKUP(D109, Relic_Price_Config!$A$5:$E$9, 4, FALSE), 350), MAX(IFERROR(VLOOKUP(D109, Relic_Price_Config!$A$5:$E$9, 3, FALSE), 210), ROUND((IFERROR(VLOOKUP(F109, Relic_Price_Config!$G$5:$N$100, 4, FALSE), 280) + N(H109) * IFERROR(VLOOKUP(F109, Relic_Price_Config!$G$5:$N$100, 5, FALSE), 10) + ABS(N(M109)) * IFERROR(VLOOKUP(F109, Relic_Price_Config!$G$5:$N$100, 6, FALSE), 15) + IF(N(N109)&gt;1, (N(N109)-1)*10, 0)) * IFERROR(VLOOKUP(D109, Relic_Price_Config!$A$5:$E$9, 2, FALSE), 1), 0)))))</f>
        <v>295</v>
      </c>
      <c r="R109" s="68">
        <f t="shared" si="6"/>
        <v>205</v>
      </c>
      <c r="S109" s="68">
        <f t="shared" si="7"/>
        <v>385</v>
      </c>
      <c r="T109" s="68">
        <f>IF(E109="OnGainRelic", 0, MIN(IFERROR(VLOOKUP(D109, Relic_Price_Config!$A$5:$E$9, 4, FALSE), 350), MAX(IFERROR(VLOOKUP(D109, Relic_Price_Config!$A$5:$E$9, 3, FALSE), 210), ROUND((IFERROR(VLOOKUP(F109, Relic_Price_Config!$G$5:$N$100, 4, FALSE), 280) + N(H109) * IFERROR(VLOOKUP(F109, Relic_Price_Config!$G$5:$N$100, 5, FALSE), 10) + ABS(N(M109)) * IFERROR(VLOOKUP(F109, Relic_Price_Config!$G$5:$N$100, 6, FALSE), 15) + IF(N(N109)&gt;1, (N(N109)-1)*10, 0)) * IFERROR(VLOOKUP(D109, Relic_Price_Config!$A$5:$E$9, 2, FALSE), 1), 0))))</f>
        <v>295</v>
      </c>
      <c r="U109" s="56" t="str">
        <f>IF(E109="OnGainRelic", "획득 시 즉발 (0원)", IFERROR(VLOOKUP(F109, Relic_Price_Config!$G$5:$N$100, 2, FALSE), "기타 효과"))</f>
        <v>방어 관련 [불굴: 피해 1 고정]</v>
      </c>
    </row>
    <row r="110" spans="1:21" ht="41.4" customHeight="1">
      <c r="A110" s="56" t="s">
        <v>2525</v>
      </c>
      <c r="B110" s="57" t="s">
        <v>2526</v>
      </c>
      <c r="C110" s="57" t="s">
        <v>2527</v>
      </c>
      <c r="D110" s="56" t="s">
        <v>34</v>
      </c>
      <c r="E110" s="56" t="s">
        <v>2225</v>
      </c>
      <c r="F110" s="56" t="s">
        <v>1579</v>
      </c>
      <c r="G110" s="56" t="s">
        <v>45</v>
      </c>
      <c r="H110" s="56">
        <v>3</v>
      </c>
      <c r="I110" s="56"/>
      <c r="J110" s="56">
        <v>0</v>
      </c>
      <c r="K110" s="56"/>
      <c r="L110" s="56"/>
      <c r="M110" s="56">
        <v>0</v>
      </c>
      <c r="N110" s="56">
        <v>0</v>
      </c>
      <c r="O110" s="56">
        <v>-1</v>
      </c>
      <c r="P110" s="56" t="s">
        <v>76</v>
      </c>
      <c r="Q110" s="68">
        <f>IF(E110="OnGainRelic", 0, IF(OR(P110="Quest", P110="Monster", P110="Event", D110="Basic", D110="Upgrade"), -1, MIN(IFERROR(VLOOKUP(D110, Relic_Price_Config!$A$5:$E$9, 4, FALSE), 350), MAX(IFERROR(VLOOKUP(D110, Relic_Price_Config!$A$5:$E$9, 3, FALSE), 210), ROUND((IFERROR(VLOOKUP(F110, Relic_Price_Config!$G$5:$N$100, 4, FALSE), 280) + N(H110) * IFERROR(VLOOKUP(F110, Relic_Price_Config!$G$5:$N$100, 5, FALSE), 10) + ABS(N(M110)) * IFERROR(VLOOKUP(F110, Relic_Price_Config!$G$5:$N$100, 6, FALSE), 15) + IF(N(N110)&gt;1, (N(N110)-1)*10, 0)) * IFERROR(VLOOKUP(D110, Relic_Price_Config!$A$5:$E$9, 2, FALSE), 1), 0)))))</f>
        <v>315</v>
      </c>
      <c r="R110" s="68">
        <f t="shared" si="6"/>
        <v>220</v>
      </c>
      <c r="S110" s="68">
        <f t="shared" si="7"/>
        <v>410</v>
      </c>
      <c r="T110" s="68">
        <f>IF(E110="OnGainRelic", 0, MIN(IFERROR(VLOOKUP(D110, Relic_Price_Config!$A$5:$E$9, 4, FALSE), 350), MAX(IFERROR(VLOOKUP(D110, Relic_Price_Config!$A$5:$E$9, 3, FALSE), 210), ROUND((IFERROR(VLOOKUP(F110, Relic_Price_Config!$G$5:$N$100, 4, FALSE), 280) + N(H110) * IFERROR(VLOOKUP(F110, Relic_Price_Config!$G$5:$N$100, 5, FALSE), 10) + ABS(N(M110)) * IFERROR(VLOOKUP(F110, Relic_Price_Config!$G$5:$N$100, 6, FALSE), 15) + IF(N(N110)&gt;1, (N(N110)-1)*10, 0)) * IFERROR(VLOOKUP(D110, Relic_Price_Config!$A$5:$E$9, 2, FALSE), 1), 0))))</f>
        <v>315</v>
      </c>
      <c r="U110" s="56" t="str">
        <f>IF(E110="OnGainRelic", "획득 시 즉발 (0원)", IFERROR(VLOOKUP(F110, Relic_Price_Config!$G$5:$N$100, 2, FALSE), "기타 효과"))</f>
        <v>방어 관련 [체력 회복]</v>
      </c>
    </row>
    <row r="111" spans="1:21" ht="41.4" customHeight="1">
      <c r="A111" s="56" t="s">
        <v>2528</v>
      </c>
      <c r="B111" s="57" t="s">
        <v>2529</v>
      </c>
      <c r="C111" s="57" t="s">
        <v>2530</v>
      </c>
      <c r="D111" s="56" t="s">
        <v>34</v>
      </c>
      <c r="E111" s="56" t="s">
        <v>2114</v>
      </c>
      <c r="F111" s="56" t="s">
        <v>1579</v>
      </c>
      <c r="G111" s="56" t="s">
        <v>45</v>
      </c>
      <c r="H111" s="56">
        <v>1</v>
      </c>
      <c r="I111" s="56"/>
      <c r="J111" s="56">
        <v>0</v>
      </c>
      <c r="K111" s="56"/>
      <c r="L111" s="56"/>
      <c r="M111" s="56">
        <v>0</v>
      </c>
      <c r="N111" s="56">
        <v>0</v>
      </c>
      <c r="O111" s="56">
        <v>-1</v>
      </c>
      <c r="P111" s="56" t="s">
        <v>76</v>
      </c>
      <c r="Q111" s="68">
        <f>IF(E111="OnGainRelic", 0, IF(OR(P111="Quest", P111="Monster", P111="Event", D111="Basic", D111="Upgrade"), -1, MIN(IFERROR(VLOOKUP(D111, Relic_Price_Config!$A$5:$E$9, 4, FALSE), 350), MAX(IFERROR(VLOOKUP(D111, Relic_Price_Config!$A$5:$E$9, 3, FALSE), 210), ROUND((IFERROR(VLOOKUP(F111, Relic_Price_Config!$G$5:$N$100, 4, FALSE), 280) + N(H111) * IFERROR(VLOOKUP(F111, Relic_Price_Config!$G$5:$N$100, 5, FALSE), 10) + ABS(N(M111)) * IFERROR(VLOOKUP(F111, Relic_Price_Config!$G$5:$N$100, 6, FALSE), 15) + IF(N(N111)&gt;1, (N(N111)-1)*10, 0)) * IFERROR(VLOOKUP(D111, Relic_Price_Config!$A$5:$E$9, 2, FALSE), 1), 0)))))</f>
        <v>285</v>
      </c>
      <c r="R111" s="68">
        <f t="shared" si="6"/>
        <v>200</v>
      </c>
      <c r="S111" s="68">
        <f t="shared" si="7"/>
        <v>370</v>
      </c>
      <c r="T111" s="68">
        <f>IF(E111="OnGainRelic", 0, MIN(IFERROR(VLOOKUP(D111, Relic_Price_Config!$A$5:$E$9, 4, FALSE), 350), MAX(IFERROR(VLOOKUP(D111, Relic_Price_Config!$A$5:$E$9, 3, FALSE), 210), ROUND((IFERROR(VLOOKUP(F111, Relic_Price_Config!$G$5:$N$100, 4, FALSE), 280) + N(H111) * IFERROR(VLOOKUP(F111, Relic_Price_Config!$G$5:$N$100, 5, FALSE), 10) + ABS(N(M111)) * IFERROR(VLOOKUP(F111, Relic_Price_Config!$G$5:$N$100, 6, FALSE), 15) + IF(N(N111)&gt;1, (N(N111)-1)*10, 0)) * IFERROR(VLOOKUP(D111, Relic_Price_Config!$A$5:$E$9, 2, FALSE), 1), 0))))</f>
        <v>285</v>
      </c>
      <c r="U111" s="56" t="str">
        <f>IF(E111="OnGainRelic", "획득 시 즉발 (0원)", IFERROR(VLOOKUP(F111, Relic_Price_Config!$G$5:$N$100, 2, FALSE), "기타 효과"))</f>
        <v>방어 관련 [체력 회복]</v>
      </c>
    </row>
    <row r="112" spans="1:21" ht="27.6" customHeight="1">
      <c r="A112" s="56" t="s">
        <v>2531</v>
      </c>
      <c r="B112" s="57" t="s">
        <v>2532</v>
      </c>
      <c r="C112" s="57" t="s">
        <v>2533</v>
      </c>
      <c r="D112" s="56" t="s">
        <v>208</v>
      </c>
      <c r="E112" s="56" t="s">
        <v>2279</v>
      </c>
      <c r="F112" s="56" t="s">
        <v>1308</v>
      </c>
      <c r="G112" s="56" t="s">
        <v>108</v>
      </c>
      <c r="H112" s="56">
        <v>0</v>
      </c>
      <c r="I112" s="56"/>
      <c r="J112" s="56">
        <v>0</v>
      </c>
      <c r="K112" s="56" t="s">
        <v>130</v>
      </c>
      <c r="L112" s="56"/>
      <c r="M112" s="56">
        <v>1</v>
      </c>
      <c r="N112" s="56">
        <v>1</v>
      </c>
      <c r="O112" s="56">
        <v>-1</v>
      </c>
      <c r="P112" s="56" t="s">
        <v>76</v>
      </c>
      <c r="Q112" s="68">
        <f>IF(E112="OnGainRelic", 0, IF(OR(P112="Quest", P112="Monster", P112="Event", D112="Basic", D112="Upgrade"), -1, MIN(IFERROR(VLOOKUP(D112, Relic_Price_Config!$A$5:$E$9, 4, FALSE), 350), MAX(IFERROR(VLOOKUP(D112, Relic_Price_Config!$A$5:$E$9, 3, FALSE), 210), ROUND((IFERROR(VLOOKUP(F112, Relic_Price_Config!$G$5:$N$100, 4, FALSE), 280) + N(H112) * IFERROR(VLOOKUP(F112, Relic_Price_Config!$G$5:$N$100, 5, FALSE), 10) + ABS(N(M112)) * IFERROR(VLOOKUP(F112, Relic_Price_Config!$G$5:$N$100, 6, FALSE), 15) + IF(N(N112)&gt;1, (N(N112)-1)*10, 0)) * IFERROR(VLOOKUP(D112, Relic_Price_Config!$A$5:$E$9, 2, FALSE), 1), 0)))))</f>
        <v>443</v>
      </c>
      <c r="R112" s="68">
        <f t="shared" si="6"/>
        <v>310</v>
      </c>
      <c r="S112" s="68">
        <f t="shared" si="7"/>
        <v>575</v>
      </c>
      <c r="T112" s="68">
        <f>IF(E112="OnGainRelic", 0, MIN(IFERROR(VLOOKUP(D112, Relic_Price_Config!$A$5:$E$9, 4, FALSE), 350), MAX(IFERROR(VLOOKUP(D112, Relic_Price_Config!$A$5:$E$9, 3, FALSE), 210), ROUND((IFERROR(VLOOKUP(F112, Relic_Price_Config!$G$5:$N$100, 4, FALSE), 280) + N(H112) * IFERROR(VLOOKUP(F112, Relic_Price_Config!$G$5:$N$100, 5, FALSE), 10) + ABS(N(M112)) * IFERROR(VLOOKUP(F112, Relic_Price_Config!$G$5:$N$100, 6, FALSE), 15) + IF(N(N112)&gt;1, (N(N112)-1)*10, 0)) * IFERROR(VLOOKUP(D112, Relic_Price_Config!$A$5:$E$9, 2, FALSE), 1), 0))))</f>
        <v>443</v>
      </c>
      <c r="U112" s="56" t="str">
        <f>IF(E112="OnGainRelic", "획득 시 즉발 (0원)", IFERROR(VLOOKUP(F112, Relic_Price_Config!$G$5:$N$100, 2, FALSE), "기타 효과"))</f>
        <v>공격 증가 [적 방어 스탯 감소]</v>
      </c>
    </row>
    <row r="113" spans="1:21" ht="27.6" customHeight="1">
      <c r="A113" s="56" t="s">
        <v>2534</v>
      </c>
      <c r="B113" s="57" t="s">
        <v>2535</v>
      </c>
      <c r="C113" s="57" t="s">
        <v>2536</v>
      </c>
      <c r="D113" s="56" t="s">
        <v>208</v>
      </c>
      <c r="E113" s="56" t="s">
        <v>2289</v>
      </c>
      <c r="F113" s="56" t="s">
        <v>44</v>
      </c>
      <c r="G113" s="56" t="s">
        <v>45</v>
      </c>
      <c r="H113" s="56">
        <v>2</v>
      </c>
      <c r="I113" s="56"/>
      <c r="J113" s="56">
        <v>0</v>
      </c>
      <c r="K113" s="56"/>
      <c r="L113" s="56"/>
      <c r="M113" s="56">
        <v>0</v>
      </c>
      <c r="N113" s="56">
        <v>0</v>
      </c>
      <c r="O113" s="56">
        <v>-1</v>
      </c>
      <c r="P113" s="56" t="s">
        <v>76</v>
      </c>
      <c r="Q113" s="68">
        <f>IF(E113="OnGainRelic", 0, IF(OR(P113="Quest", P113="Monster", P113="Event", D113="Basic", D113="Upgrade"), -1, MIN(IFERROR(VLOOKUP(D113, Relic_Price_Config!$A$5:$E$9, 4, FALSE), 350), MAX(IFERROR(VLOOKUP(D113, Relic_Price_Config!$A$5:$E$9, 3, FALSE), 210), ROUND((IFERROR(VLOOKUP(F113, Relic_Price_Config!$G$5:$N$100, 4, FALSE), 280) + N(H113) * IFERROR(VLOOKUP(F113, Relic_Price_Config!$G$5:$N$100, 5, FALSE), 10) + ABS(N(M113)) * IFERROR(VLOOKUP(F113, Relic_Price_Config!$G$5:$N$100, 6, FALSE), 15) + IF(N(N113)&gt;1, (N(N113)-1)*10, 0)) * IFERROR(VLOOKUP(D113, Relic_Price_Config!$A$5:$E$9, 2, FALSE), 1), 0)))))</f>
        <v>450</v>
      </c>
      <c r="R113" s="68">
        <f t="shared" si="6"/>
        <v>315</v>
      </c>
      <c r="S113" s="68">
        <f t="shared" si="7"/>
        <v>585</v>
      </c>
      <c r="T113" s="68">
        <f>IF(E113="OnGainRelic", 0, MIN(IFERROR(VLOOKUP(D113, Relic_Price_Config!$A$5:$E$9, 4, FALSE), 350), MAX(IFERROR(VLOOKUP(D113, Relic_Price_Config!$A$5:$E$9, 3, FALSE), 210), ROUND((IFERROR(VLOOKUP(F113, Relic_Price_Config!$G$5:$N$100, 4, FALSE), 280) + N(H113) * IFERROR(VLOOKUP(F113, Relic_Price_Config!$G$5:$N$100, 5, FALSE), 10) + ABS(N(M113)) * IFERROR(VLOOKUP(F113, Relic_Price_Config!$G$5:$N$100, 6, FALSE), 15) + IF(N(N113)&gt;1, (N(N113)-1)*10, 0)) * IFERROR(VLOOKUP(D113, Relic_Price_Config!$A$5:$E$9, 2, FALSE), 1), 0))))</f>
        <v>450</v>
      </c>
      <c r="U113" s="56" t="str">
        <f>IF(E113="OnGainRelic", "획득 시 즉발 (0원)", IFERROR(VLOOKUP(F113, Relic_Price_Config!$G$5:$N$100, 2, FALSE), "기타 효과"))</f>
        <v>방어 관련 [보호막 획득]</v>
      </c>
    </row>
    <row r="114" spans="1:21" ht="27.6" customHeight="1">
      <c r="A114" s="56" t="s">
        <v>2537</v>
      </c>
      <c r="B114" s="57" t="s">
        <v>2538</v>
      </c>
      <c r="C114" s="57" t="s">
        <v>2539</v>
      </c>
      <c r="D114" s="56" t="s">
        <v>208</v>
      </c>
      <c r="E114" s="56" t="s">
        <v>2202</v>
      </c>
      <c r="F114" s="56" t="s">
        <v>158</v>
      </c>
      <c r="G114" s="56" t="s">
        <v>45</v>
      </c>
      <c r="H114" s="56">
        <v>4</v>
      </c>
      <c r="I114" s="56"/>
      <c r="J114" s="56">
        <v>0</v>
      </c>
      <c r="K114" s="56" t="s">
        <v>159</v>
      </c>
      <c r="L114" s="56"/>
      <c r="M114" s="56">
        <v>1</v>
      </c>
      <c r="N114" s="56">
        <v>2</v>
      </c>
      <c r="O114" s="56">
        <v>-1</v>
      </c>
      <c r="P114" s="56" t="s">
        <v>76</v>
      </c>
      <c r="Q114" s="68">
        <f>IF(E114="OnGainRelic", 0, IF(OR(P114="Quest", P114="Monster", P114="Event", D114="Basic", D114="Upgrade"), -1, MIN(IFERROR(VLOOKUP(D114, Relic_Price_Config!$A$5:$E$9, 4, FALSE), 350), MAX(IFERROR(VLOOKUP(D114, Relic_Price_Config!$A$5:$E$9, 3, FALSE), 210), ROUND((IFERROR(VLOOKUP(F114, Relic_Price_Config!$G$5:$N$100, 4, FALSE), 280) + N(H114) * IFERROR(VLOOKUP(F114, Relic_Price_Config!$G$5:$N$100, 5, FALSE), 10) + ABS(N(M114)) * IFERROR(VLOOKUP(F114, Relic_Price_Config!$G$5:$N$100, 6, FALSE), 15) + IF(N(N114)&gt;1, (N(N114)-1)*10, 0)) * IFERROR(VLOOKUP(D114, Relic_Price_Config!$A$5:$E$9, 2, FALSE), 1), 0)))))</f>
        <v>479</v>
      </c>
      <c r="R114" s="68">
        <f t="shared" si="6"/>
        <v>335</v>
      </c>
      <c r="S114" s="68">
        <f t="shared" si="7"/>
        <v>625</v>
      </c>
      <c r="T114" s="68">
        <f>IF(E114="OnGainRelic", 0, MIN(IFERROR(VLOOKUP(D114, Relic_Price_Config!$A$5:$E$9, 4, FALSE), 350), MAX(IFERROR(VLOOKUP(D114, Relic_Price_Config!$A$5:$E$9, 3, FALSE), 210), ROUND((IFERROR(VLOOKUP(F114, Relic_Price_Config!$G$5:$N$100, 4, FALSE), 280) + N(H114) * IFERROR(VLOOKUP(F114, Relic_Price_Config!$G$5:$N$100, 5, FALSE), 10) + ABS(N(M114)) * IFERROR(VLOOKUP(F114, Relic_Price_Config!$G$5:$N$100, 6, FALSE), 15) + IF(N(N114)&gt;1, (N(N114)-1)*10, 0)) * IFERROR(VLOOKUP(D114, Relic_Price_Config!$A$5:$E$9, 2, FALSE), 1), 0))))</f>
        <v>479</v>
      </c>
      <c r="U114" s="56" t="str">
        <f>IF(E114="OnGainRelic", "획득 시 즉발 (0원)", IFERROR(VLOOKUP(F114, Relic_Price_Config!$G$5:$N$100, 2, FALSE), "기타 효과"))</f>
        <v>복합 회복 [자힐+가호]</v>
      </c>
    </row>
    <row r="115" spans="1:21" ht="41.4" customHeight="1">
      <c r="A115" s="56" t="s">
        <v>2540</v>
      </c>
      <c r="B115" s="57" t="s">
        <v>2541</v>
      </c>
      <c r="C115" s="57" t="s">
        <v>2542</v>
      </c>
      <c r="D115" s="56" t="s">
        <v>208</v>
      </c>
      <c r="E115" s="56" t="s">
        <v>2114</v>
      </c>
      <c r="F115" s="56" t="s">
        <v>44</v>
      </c>
      <c r="G115" s="56" t="s">
        <v>45</v>
      </c>
      <c r="H115" s="56">
        <v>3</v>
      </c>
      <c r="I115" s="56"/>
      <c r="J115" s="56">
        <v>0</v>
      </c>
      <c r="K115" s="56"/>
      <c r="L115" s="56"/>
      <c r="M115" s="56">
        <v>0</v>
      </c>
      <c r="N115" s="56">
        <v>0</v>
      </c>
      <c r="O115" s="56">
        <v>-1</v>
      </c>
      <c r="P115" s="56" t="s">
        <v>76</v>
      </c>
      <c r="Q115" s="68">
        <f>IF(E115="OnGainRelic", 0, IF(OR(P115="Quest", P115="Monster", P115="Event", D115="Basic", D115="Upgrade"), -1, MIN(IFERROR(VLOOKUP(D115, Relic_Price_Config!$A$5:$E$9, 4, FALSE), 350), MAX(IFERROR(VLOOKUP(D115, Relic_Price_Config!$A$5:$E$9, 3, FALSE), 210), ROUND((IFERROR(VLOOKUP(F115, Relic_Price_Config!$G$5:$N$100, 4, FALSE), 280) + N(H115) * IFERROR(VLOOKUP(F115, Relic_Price_Config!$G$5:$N$100, 5, FALSE), 10) + ABS(N(M115)) * IFERROR(VLOOKUP(F115, Relic_Price_Config!$G$5:$N$100, 6, FALSE), 15) + IF(N(N115)&gt;1, (N(N115)-1)*10, 0)) * IFERROR(VLOOKUP(D115, Relic_Price_Config!$A$5:$E$9, 2, FALSE), 1), 0)))))</f>
        <v>473</v>
      </c>
      <c r="R115" s="68">
        <f t="shared" si="6"/>
        <v>330</v>
      </c>
      <c r="S115" s="68">
        <f t="shared" si="7"/>
        <v>615</v>
      </c>
      <c r="T115" s="68">
        <f>IF(E115="OnGainRelic", 0, MIN(IFERROR(VLOOKUP(D115, Relic_Price_Config!$A$5:$E$9, 4, FALSE), 350), MAX(IFERROR(VLOOKUP(D115, Relic_Price_Config!$A$5:$E$9, 3, FALSE), 210), ROUND((IFERROR(VLOOKUP(F115, Relic_Price_Config!$G$5:$N$100, 4, FALSE), 280) + N(H115) * IFERROR(VLOOKUP(F115, Relic_Price_Config!$G$5:$N$100, 5, FALSE), 10) + ABS(N(M115)) * IFERROR(VLOOKUP(F115, Relic_Price_Config!$G$5:$N$100, 6, FALSE), 15) + IF(N(N115)&gt;1, (N(N115)-1)*10, 0)) * IFERROR(VLOOKUP(D115, Relic_Price_Config!$A$5:$E$9, 2, FALSE), 1), 0))))</f>
        <v>473</v>
      </c>
      <c r="U115" s="56" t="str">
        <f>IF(E115="OnGainRelic", "획득 시 즉발 (0원)", IFERROR(VLOOKUP(F115, Relic_Price_Config!$G$5:$N$100, 2, FALSE), "기타 효과"))</f>
        <v>방어 관련 [보호막 획득]</v>
      </c>
    </row>
    <row r="116" spans="1:21" ht="27.6" customHeight="1">
      <c r="A116" s="56" t="s">
        <v>2543</v>
      </c>
      <c r="B116" s="57" t="s">
        <v>2544</v>
      </c>
      <c r="C116" s="57" t="s">
        <v>2545</v>
      </c>
      <c r="D116" s="56" t="s">
        <v>295</v>
      </c>
      <c r="E116" s="56" t="s">
        <v>2279</v>
      </c>
      <c r="F116" s="56" t="s">
        <v>309</v>
      </c>
      <c r="G116" s="56" t="s">
        <v>108</v>
      </c>
      <c r="H116" s="56">
        <v>6</v>
      </c>
      <c r="I116" s="56" t="s">
        <v>37</v>
      </c>
      <c r="J116" s="56">
        <v>1</v>
      </c>
      <c r="K116" s="56" t="s">
        <v>130</v>
      </c>
      <c r="L116" s="56"/>
      <c r="M116" s="56">
        <v>1</v>
      </c>
      <c r="N116" s="56">
        <v>1</v>
      </c>
      <c r="O116" s="56">
        <v>-1</v>
      </c>
      <c r="P116" s="56" t="s">
        <v>76</v>
      </c>
      <c r="Q116" s="68">
        <f>IF(E116="OnGainRelic", 0, IF(OR(P116="Quest", P116="Monster", P116="Event", D116="Basic", D116="Upgrade"), -1, MIN(IFERROR(VLOOKUP(D116, Relic_Price_Config!$A$5:$E$9, 4, FALSE), 350), MAX(IFERROR(VLOOKUP(D116, Relic_Price_Config!$A$5:$E$9, 3, FALSE), 210), ROUND((IFERROR(VLOOKUP(F116, Relic_Price_Config!$G$5:$N$100, 4, FALSE), 280) + N(H116) * IFERROR(VLOOKUP(F116, Relic_Price_Config!$G$5:$N$100, 5, FALSE), 10) + ABS(N(M116)) * IFERROR(VLOOKUP(F116, Relic_Price_Config!$G$5:$N$100, 6, FALSE), 15) + IF(N(N116)&gt;1, (N(N116)-1)*10, 0)) * IFERROR(VLOOKUP(D116, Relic_Price_Config!$A$5:$E$9, 2, FALSE), 1), 0)))))</f>
        <v>630</v>
      </c>
      <c r="R116" s="68">
        <f t="shared" si="6"/>
        <v>440</v>
      </c>
      <c r="S116" s="68">
        <f t="shared" si="7"/>
        <v>820</v>
      </c>
      <c r="T116" s="68">
        <f>IF(E116="OnGainRelic", 0, MIN(IFERROR(VLOOKUP(D116, Relic_Price_Config!$A$5:$E$9, 4, FALSE), 350), MAX(IFERROR(VLOOKUP(D116, Relic_Price_Config!$A$5:$E$9, 3, FALSE), 210), ROUND((IFERROR(VLOOKUP(F116, Relic_Price_Config!$G$5:$N$100, 4, FALSE), 280) + N(H116) * IFERROR(VLOOKUP(F116, Relic_Price_Config!$G$5:$N$100, 5, FALSE), 10) + ABS(N(M116)) * IFERROR(VLOOKUP(F116, Relic_Price_Config!$G$5:$N$100, 6, FALSE), 15) + IF(N(N116)&gt;1, (N(N116)-1)*10, 0)) * IFERROR(VLOOKUP(D116, Relic_Price_Config!$A$5:$E$9, 2, FALSE), 1), 0))))</f>
        <v>630</v>
      </c>
      <c r="U116" s="56" t="str">
        <f>IF(E116="OnGainRelic", "획득 시 즉발 (0원)", IFERROR(VLOOKUP(F116, Relic_Price_Config!$G$5:$N$100, 2, FALSE), "기타 효과"))</f>
        <v>광역 공격 [피해+용암 부여]</v>
      </c>
    </row>
    <row r="117" spans="1:21" ht="27.6" customHeight="1">
      <c r="A117" s="56" t="s">
        <v>2546</v>
      </c>
      <c r="B117" s="57" t="s">
        <v>2547</v>
      </c>
      <c r="C117" s="57" t="s">
        <v>2548</v>
      </c>
      <c r="D117" s="56" t="s">
        <v>295</v>
      </c>
      <c r="E117" s="56" t="s">
        <v>2289</v>
      </c>
      <c r="F117" s="56" t="s">
        <v>1327</v>
      </c>
      <c r="G117" s="56" t="s">
        <v>45</v>
      </c>
      <c r="H117" s="56">
        <v>0</v>
      </c>
      <c r="I117" s="56"/>
      <c r="J117" s="56">
        <v>0</v>
      </c>
      <c r="K117" s="56" t="s">
        <v>316</v>
      </c>
      <c r="L117" s="56"/>
      <c r="M117" s="56">
        <v>1</v>
      </c>
      <c r="N117" s="56">
        <v>1</v>
      </c>
      <c r="O117" s="56">
        <v>-1</v>
      </c>
      <c r="P117" s="56" t="s">
        <v>76</v>
      </c>
      <c r="Q117" s="68">
        <f>IF(E117="OnGainRelic", 0, IF(OR(P117="Quest", P117="Monster", P117="Event", D117="Basic", D117="Upgrade"), -1, MIN(IFERROR(VLOOKUP(D117, Relic_Price_Config!$A$5:$E$9, 4, FALSE), 350), MAX(IFERROR(VLOOKUP(D117, Relic_Price_Config!$A$5:$E$9, 3, FALSE), 210), ROUND((IFERROR(VLOOKUP(F117, Relic_Price_Config!$G$5:$N$100, 4, FALSE), 280) + N(H117) * IFERROR(VLOOKUP(F117, Relic_Price_Config!$G$5:$N$100, 5, FALSE), 10) + ABS(N(M117)) * IFERROR(VLOOKUP(F117, Relic_Price_Config!$G$5:$N$100, 6, FALSE), 15) + IF(N(N117)&gt;1, (N(N117)-1)*10, 0)) * IFERROR(VLOOKUP(D117, Relic_Price_Config!$A$5:$E$9, 2, FALSE), 1), 0)))))</f>
        <v>610</v>
      </c>
      <c r="R117" s="68">
        <f t="shared" si="6"/>
        <v>425</v>
      </c>
      <c r="S117" s="68">
        <f t="shared" si="7"/>
        <v>795</v>
      </c>
      <c r="T117" s="68">
        <f>IF(E117="OnGainRelic", 0, MIN(IFERROR(VLOOKUP(D117, Relic_Price_Config!$A$5:$E$9, 4, FALSE), 350), MAX(IFERROR(VLOOKUP(D117, Relic_Price_Config!$A$5:$E$9, 3, FALSE), 210), ROUND((IFERROR(VLOOKUP(F117, Relic_Price_Config!$G$5:$N$100, 4, FALSE), 280) + N(H117) * IFERROR(VLOOKUP(F117, Relic_Price_Config!$G$5:$N$100, 5, FALSE), 10) + ABS(N(M117)) * IFERROR(VLOOKUP(F117, Relic_Price_Config!$G$5:$N$100, 6, FALSE), 15) + IF(N(N117)&gt;1, (N(N117)-1)*10, 0)) * IFERROR(VLOOKUP(D117, Relic_Price_Config!$A$5:$E$9, 2, FALSE), 1), 0))))</f>
        <v>610</v>
      </c>
      <c r="U117" s="56" t="str">
        <f>IF(E117="OnGainRelic", "획득 시 즉발 (0원)", IFERROR(VLOOKUP(F117, Relic_Price_Config!$G$5:$N$100, 2, FALSE), "기타 효과"))</f>
        <v>방어 증가 [받는 피해 감소]</v>
      </c>
    </row>
    <row r="118" spans="1:21" ht="27.6" customHeight="1">
      <c r="A118" s="56" t="s">
        <v>2549</v>
      </c>
      <c r="B118" s="57" t="s">
        <v>2550</v>
      </c>
      <c r="C118" s="57" t="s">
        <v>2551</v>
      </c>
      <c r="D118" s="56" t="s">
        <v>295</v>
      </c>
      <c r="E118" s="56" t="s">
        <v>2202</v>
      </c>
      <c r="F118" s="56" t="s">
        <v>593</v>
      </c>
      <c r="G118" s="56" t="s">
        <v>504</v>
      </c>
      <c r="H118" s="56">
        <v>6</v>
      </c>
      <c r="I118" s="56" t="s">
        <v>46</v>
      </c>
      <c r="J118" s="56">
        <v>1</v>
      </c>
      <c r="K118" s="56" t="s">
        <v>71</v>
      </c>
      <c r="L118" s="56"/>
      <c r="M118" s="56">
        <v>1</v>
      </c>
      <c r="N118" s="56">
        <v>1</v>
      </c>
      <c r="O118" s="56">
        <v>-1</v>
      </c>
      <c r="P118" s="56" t="s">
        <v>76</v>
      </c>
      <c r="Q118" s="68">
        <f>IF(E118="OnGainRelic", 0, IF(OR(P118="Quest", P118="Monster", P118="Event", D118="Basic", D118="Upgrade"), -1, MIN(IFERROR(VLOOKUP(D118, Relic_Price_Config!$A$5:$E$9, 4, FALSE), 350), MAX(IFERROR(VLOOKUP(D118, Relic_Price_Config!$A$5:$E$9, 3, FALSE), 210), ROUND((IFERROR(VLOOKUP(F118, Relic_Price_Config!$G$5:$N$100, 4, FALSE), 280) + N(H118) * IFERROR(VLOOKUP(F118, Relic_Price_Config!$G$5:$N$100, 5, FALSE), 10) + ABS(N(M118)) * IFERROR(VLOOKUP(F118, Relic_Price_Config!$G$5:$N$100, 6, FALSE), 15) + IF(N(N118)&gt;1, (N(N118)-1)*10, 0)) * IFERROR(VLOOKUP(D118, Relic_Price_Config!$A$5:$E$9, 2, FALSE), 1), 0)))))</f>
        <v>662</v>
      </c>
      <c r="R118" s="68">
        <f t="shared" si="6"/>
        <v>465</v>
      </c>
      <c r="S118" s="68">
        <f t="shared" si="7"/>
        <v>860</v>
      </c>
      <c r="T118" s="68">
        <f>IF(E118="OnGainRelic", 0, MIN(IFERROR(VLOOKUP(D118, Relic_Price_Config!$A$5:$E$9, 4, FALSE), 350), MAX(IFERROR(VLOOKUP(D118, Relic_Price_Config!$A$5:$E$9, 3, FALSE), 210), ROUND((IFERROR(VLOOKUP(F118, Relic_Price_Config!$G$5:$N$100, 4, FALSE), 280) + N(H118) * IFERROR(VLOOKUP(F118, Relic_Price_Config!$G$5:$N$100, 5, FALSE), 10) + ABS(N(M118)) * IFERROR(VLOOKUP(F118, Relic_Price_Config!$G$5:$N$100, 6, FALSE), 15) + IF(N(N118)&gt;1, (N(N118)-1)*10, 0)) * IFERROR(VLOOKUP(D118, Relic_Price_Config!$A$5:$E$9, 2, FALSE), 1), 0))))</f>
        <v>662</v>
      </c>
      <c r="U118" s="56" t="str">
        <f>IF(E118="OnGainRelic", "획득 시 즉발 (0원)", IFERROR(VLOOKUP(F118, Relic_Price_Config!$G$5:$N$100, 2, FALSE), "기타 효과"))</f>
        <v>복합 회복 [전체 회복+용기]</v>
      </c>
    </row>
    <row r="119" spans="1:21" ht="27.6" customHeight="1">
      <c r="A119" s="56" t="s">
        <v>2552</v>
      </c>
      <c r="B119" s="57" t="s">
        <v>2553</v>
      </c>
      <c r="C119" s="57" t="s">
        <v>2554</v>
      </c>
      <c r="D119" s="56" t="s">
        <v>295</v>
      </c>
      <c r="E119" s="56" t="s">
        <v>2114</v>
      </c>
      <c r="F119" s="56" t="s">
        <v>2034</v>
      </c>
      <c r="G119" s="56" t="s">
        <v>45</v>
      </c>
      <c r="H119" s="56">
        <v>2</v>
      </c>
      <c r="I119" s="56"/>
      <c r="J119" s="56">
        <v>0</v>
      </c>
      <c r="K119" s="56" t="s">
        <v>71</v>
      </c>
      <c r="L119" s="56"/>
      <c r="M119" s="56">
        <v>2</v>
      </c>
      <c r="N119" s="56">
        <v>1</v>
      </c>
      <c r="O119" s="56">
        <v>-1</v>
      </c>
      <c r="P119" s="56" t="s">
        <v>76</v>
      </c>
      <c r="Q119" s="68">
        <f>IF(E119="OnGainRelic", 0, IF(OR(P119="Quest", P119="Monster", P119="Event", D119="Basic", D119="Upgrade"), -1, MIN(IFERROR(VLOOKUP(D119, Relic_Price_Config!$A$5:$E$9, 4, FALSE), 350), MAX(IFERROR(VLOOKUP(D119, Relic_Price_Config!$A$5:$E$9, 3, FALSE), 210), ROUND((IFERROR(VLOOKUP(F119, Relic_Price_Config!$G$5:$N$100, 4, FALSE), 280) + N(H119) * IFERROR(VLOOKUP(F119, Relic_Price_Config!$G$5:$N$100, 5, FALSE), 10) + ABS(N(M119)) * IFERROR(VLOOKUP(F119, Relic_Price_Config!$G$5:$N$100, 6, FALSE), 15) + IF(N(N119)&gt;1, (N(N119)-1)*10, 0)) * IFERROR(VLOOKUP(D119, Relic_Price_Config!$A$5:$E$9, 2, FALSE), 1), 0)))))</f>
        <v>680</v>
      </c>
      <c r="R119" s="68">
        <f t="shared" si="6"/>
        <v>475</v>
      </c>
      <c r="S119" s="68">
        <f t="shared" si="7"/>
        <v>885</v>
      </c>
      <c r="T119" s="68">
        <f>IF(E119="OnGainRelic", 0, MIN(IFERROR(VLOOKUP(D119, Relic_Price_Config!$A$5:$E$9, 4, FALSE), 350), MAX(IFERROR(VLOOKUP(D119, Relic_Price_Config!$A$5:$E$9, 3, FALSE), 210), ROUND((IFERROR(VLOOKUP(F119, Relic_Price_Config!$G$5:$N$100, 4, FALSE), 280) + N(H119) * IFERROR(VLOOKUP(F119, Relic_Price_Config!$G$5:$N$100, 5, FALSE), 10) + ABS(N(M119)) * IFERROR(VLOOKUP(F119, Relic_Price_Config!$G$5:$N$100, 6, FALSE), 15) + IF(N(N119)&gt;1, (N(N119)-1)*10, 0)) * IFERROR(VLOOKUP(D119, Relic_Price_Config!$A$5:$E$9, 2, FALSE), 1), 0))))</f>
        <v>680</v>
      </c>
      <c r="U119" s="56" t="str">
        <f>IF(E119="OnGainRelic", "획득 시 즉발 (0원)", IFERROR(VLOOKUP(F119, Relic_Price_Config!$G$5:$N$100, 2, FALSE), "기타 효과"))</f>
        <v>복합 효과 [체력 회복 + 공격 상승]</v>
      </c>
    </row>
    <row r="120" spans="1:21" ht="41.4" customHeight="1">
      <c r="A120" s="56" t="s">
        <v>2555</v>
      </c>
      <c r="B120" s="57" t="s">
        <v>2556</v>
      </c>
      <c r="C120" s="57" t="s">
        <v>2557</v>
      </c>
      <c r="D120" s="56" t="s">
        <v>208</v>
      </c>
      <c r="E120" s="56" t="s">
        <v>2225</v>
      </c>
      <c r="F120" s="56" t="s">
        <v>1862</v>
      </c>
      <c r="G120" s="56" t="s">
        <v>45</v>
      </c>
      <c r="H120" s="56">
        <v>1</v>
      </c>
      <c r="I120" s="56"/>
      <c r="J120" s="56">
        <v>0</v>
      </c>
      <c r="K120" s="56"/>
      <c r="L120" s="56"/>
      <c r="M120" s="56">
        <v>0</v>
      </c>
      <c r="N120" s="56">
        <v>0</v>
      </c>
      <c r="O120" s="56">
        <v>-1</v>
      </c>
      <c r="P120" s="56" t="s">
        <v>1242</v>
      </c>
      <c r="Q120" s="68">
        <f>IF(E120="OnGainRelic", 0, IF(OR(P120="Quest", P120="Monster", P120="Event", D120="Basic", D120="Upgrade"), -1, MIN(IFERROR(VLOOKUP(D120, Relic_Price_Config!$A$5:$E$9, 4, FALSE), 350), MAX(IFERROR(VLOOKUP(D120, Relic_Price_Config!$A$5:$E$9, 3, FALSE), 210), ROUND((IFERROR(VLOOKUP(F120, Relic_Price_Config!$G$5:$N$100, 4, FALSE), 280) + N(H120) * IFERROR(VLOOKUP(F120, Relic_Price_Config!$G$5:$N$100, 5, FALSE), 10) + ABS(N(M120)) * IFERROR(VLOOKUP(F120, Relic_Price_Config!$G$5:$N$100, 6, FALSE), 15) + IF(N(N120)&gt;1, (N(N120)-1)*10, 0)) * IFERROR(VLOOKUP(D120, Relic_Price_Config!$A$5:$E$9, 2, FALSE), 1), 0)))))</f>
        <v>375</v>
      </c>
      <c r="R120" s="68">
        <f t="shared" si="6"/>
        <v>265</v>
      </c>
      <c r="S120" s="68">
        <f t="shared" si="7"/>
        <v>490</v>
      </c>
      <c r="T120" s="68">
        <f>IF(E120="OnGainRelic", 0, MIN(IFERROR(VLOOKUP(D120, Relic_Price_Config!$A$5:$E$9, 4, FALSE), 350), MAX(IFERROR(VLOOKUP(D120, Relic_Price_Config!$A$5:$E$9, 3, FALSE), 210), ROUND((IFERROR(VLOOKUP(F120, Relic_Price_Config!$G$5:$N$100, 4, FALSE), 280) + N(H120) * IFERROR(VLOOKUP(F120, Relic_Price_Config!$G$5:$N$100, 5, FALSE), 10) + ABS(N(M120)) * IFERROR(VLOOKUP(F120, Relic_Price_Config!$G$5:$N$100, 6, FALSE), 15) + IF(N(N120)&gt;1, (N(N120)-1)*10, 0)) * IFERROR(VLOOKUP(D120, Relic_Price_Config!$A$5:$E$9, 2, FALSE), 1), 0))))</f>
        <v>375</v>
      </c>
      <c r="U120" s="56" t="str">
        <f>IF(E120="OnGainRelic", "획득 시 즉발 (0원)", IFERROR(VLOOKUP(F120, Relic_Price_Config!$G$5:$N$100, 2, FALSE), "기타 효과"))</f>
        <v>유틸/성장 [최대 체력 증가]</v>
      </c>
    </row>
    <row r="121" spans="1:21" ht="55.2" customHeight="1">
      <c r="A121" s="56" t="s">
        <v>2558</v>
      </c>
      <c r="B121" s="57" t="s">
        <v>2559</v>
      </c>
      <c r="C121" s="57" t="s">
        <v>2560</v>
      </c>
      <c r="D121" s="56" t="s">
        <v>34</v>
      </c>
      <c r="E121" s="56" t="s">
        <v>2202</v>
      </c>
      <c r="F121" s="56" t="s">
        <v>1308</v>
      </c>
      <c r="G121" s="56" t="s">
        <v>108</v>
      </c>
      <c r="H121" s="56">
        <v>0</v>
      </c>
      <c r="I121" s="56"/>
      <c r="J121" s="56">
        <v>0</v>
      </c>
      <c r="K121" s="56" t="s">
        <v>130</v>
      </c>
      <c r="L121" s="56"/>
      <c r="M121" s="56">
        <v>1</v>
      </c>
      <c r="N121" s="56">
        <v>1</v>
      </c>
      <c r="O121" s="56">
        <v>-1</v>
      </c>
      <c r="P121" s="56" t="s">
        <v>1729</v>
      </c>
      <c r="Q121" s="68">
        <f>IF(E121="OnGainRelic", 0, IF(OR(P121="Quest", P121="Monster", P121="Event", D121="Basic", D121="Upgrade"), -1, MIN(IFERROR(VLOOKUP(D121, Relic_Price_Config!$A$5:$E$9, 4, FALSE), 350), MAX(IFERROR(VLOOKUP(D121, Relic_Price_Config!$A$5:$E$9, 3, FALSE), 210), ROUND((IFERROR(VLOOKUP(F121, Relic_Price_Config!$G$5:$N$100, 4, FALSE), 280) + N(H121) * IFERROR(VLOOKUP(F121, Relic_Price_Config!$G$5:$N$100, 5, FALSE), 10) + ABS(N(M121)) * IFERROR(VLOOKUP(F121, Relic_Price_Config!$G$5:$N$100, 6, FALSE), 15) + IF(N(N121)&gt;1, (N(N121)-1)*10, 0)) * IFERROR(VLOOKUP(D121, Relic_Price_Config!$A$5:$E$9, 2, FALSE), 1), 0)))))</f>
        <v>-1</v>
      </c>
      <c r="R121" s="68">
        <f t="shared" si="6"/>
        <v>205</v>
      </c>
      <c r="S121" s="68">
        <f t="shared" si="7"/>
        <v>385</v>
      </c>
      <c r="T121" s="68">
        <f>IF(E121="OnGainRelic", 0, MIN(IFERROR(VLOOKUP(D121, Relic_Price_Config!$A$5:$E$9, 4, FALSE), 350), MAX(IFERROR(VLOOKUP(D121, Relic_Price_Config!$A$5:$E$9, 3, FALSE), 210), ROUND((IFERROR(VLOOKUP(F121, Relic_Price_Config!$G$5:$N$100, 4, FALSE), 280) + N(H121) * IFERROR(VLOOKUP(F121, Relic_Price_Config!$G$5:$N$100, 5, FALSE), 10) + ABS(N(M121)) * IFERROR(VLOOKUP(F121, Relic_Price_Config!$G$5:$N$100, 6, FALSE), 15) + IF(N(N121)&gt;1, (N(N121)-1)*10, 0)) * IFERROR(VLOOKUP(D121, Relic_Price_Config!$A$5:$E$9, 2, FALSE), 1), 0))))</f>
        <v>295</v>
      </c>
      <c r="U121" s="56" t="str">
        <f>IF(E121="OnGainRelic", "획득 시 즉발 (0원)", IFERROR(VLOOKUP(F121, Relic_Price_Config!$G$5:$N$100, 2, FALSE), "기타 효과"))</f>
        <v>공격 증가 [적 방어 스탯 감소]</v>
      </c>
    </row>
    <row r="122" spans="1:21" ht="55.2" customHeight="1">
      <c r="A122" s="56" t="s">
        <v>2561</v>
      </c>
      <c r="B122" s="57" t="s">
        <v>2562</v>
      </c>
      <c r="C122" s="57" t="s">
        <v>2563</v>
      </c>
      <c r="D122" s="56" t="s">
        <v>34</v>
      </c>
      <c r="E122" s="56" t="s">
        <v>2202</v>
      </c>
      <c r="F122" s="56" t="s">
        <v>883</v>
      </c>
      <c r="G122" s="56" t="s">
        <v>108</v>
      </c>
      <c r="H122" s="56">
        <v>0</v>
      </c>
      <c r="I122" s="56"/>
      <c r="J122" s="56">
        <v>0</v>
      </c>
      <c r="K122" s="56" t="s">
        <v>413</v>
      </c>
      <c r="L122" s="56"/>
      <c r="M122" s="56">
        <v>1</v>
      </c>
      <c r="N122" s="56">
        <v>1</v>
      </c>
      <c r="O122" s="56">
        <v>-1</v>
      </c>
      <c r="P122" s="56" t="s">
        <v>1729</v>
      </c>
      <c r="Q122" s="68">
        <f>IF(E122="OnGainRelic", 0, IF(OR(P122="Quest", P122="Monster", P122="Event", D122="Basic", D122="Upgrade"), -1, MIN(IFERROR(VLOOKUP(D122, Relic_Price_Config!$A$5:$E$9, 4, FALSE), 350), MAX(IFERROR(VLOOKUP(D122, Relic_Price_Config!$A$5:$E$9, 3, FALSE), 210), ROUND((IFERROR(VLOOKUP(F122, Relic_Price_Config!$G$5:$N$100, 4, FALSE), 280) + N(H122) * IFERROR(VLOOKUP(F122, Relic_Price_Config!$G$5:$N$100, 5, FALSE), 10) + ABS(N(M122)) * IFERROR(VLOOKUP(F122, Relic_Price_Config!$G$5:$N$100, 6, FALSE), 15) + IF(N(N122)&gt;1, (N(N122)-1)*10, 0)) * IFERROR(VLOOKUP(D122, Relic_Price_Config!$A$5:$E$9, 2, FALSE), 1), 0)))))</f>
        <v>-1</v>
      </c>
      <c r="R122" s="68">
        <f t="shared" si="6"/>
        <v>205</v>
      </c>
      <c r="S122" s="68">
        <f t="shared" si="7"/>
        <v>385</v>
      </c>
      <c r="T122" s="68">
        <f>IF(E122="OnGainRelic", 0, MIN(IFERROR(VLOOKUP(D122, Relic_Price_Config!$A$5:$E$9, 4, FALSE), 350), MAX(IFERROR(VLOOKUP(D122, Relic_Price_Config!$A$5:$E$9, 3, FALSE), 210), ROUND((IFERROR(VLOOKUP(F122, Relic_Price_Config!$G$5:$N$100, 4, FALSE), 280) + N(H122) * IFERROR(VLOOKUP(F122, Relic_Price_Config!$G$5:$N$100, 5, FALSE), 10) + ABS(N(M122)) * IFERROR(VLOOKUP(F122, Relic_Price_Config!$G$5:$N$100, 6, FALSE), 15) + IF(N(N122)&gt;1, (N(N122)-1)*10, 0)) * IFERROR(VLOOKUP(D122, Relic_Price_Config!$A$5:$E$9, 2, FALSE), 1), 0))))</f>
        <v>295</v>
      </c>
      <c r="U122" s="56" t="str">
        <f>IF(E122="OnGainRelic", "획득 시 즉발 (0원)", IFERROR(VLOOKUP(F122, Relic_Price_Config!$G$5:$N$100, 2, FALSE), "기타 효과"))</f>
        <v>방어 증가 [적 공격 스탯 감소]</v>
      </c>
    </row>
    <row r="123" spans="1:21" ht="41.4" customHeight="1">
      <c r="A123" s="56" t="s">
        <v>2564</v>
      </c>
      <c r="B123" s="57" t="s">
        <v>2565</v>
      </c>
      <c r="C123" s="57" t="s">
        <v>2566</v>
      </c>
      <c r="D123" s="56" t="s">
        <v>34</v>
      </c>
      <c r="E123" s="56" t="s">
        <v>2233</v>
      </c>
      <c r="F123" s="56" t="s">
        <v>1862</v>
      </c>
      <c r="G123" s="56" t="s">
        <v>45</v>
      </c>
      <c r="H123" s="56">
        <v>10</v>
      </c>
      <c r="I123" s="56"/>
      <c r="J123" s="56">
        <v>0</v>
      </c>
      <c r="K123" s="56"/>
      <c r="L123" s="56"/>
      <c r="M123" s="56">
        <v>0</v>
      </c>
      <c r="N123" s="56">
        <v>0</v>
      </c>
      <c r="O123" s="56">
        <v>-1</v>
      </c>
      <c r="P123" s="56" t="s">
        <v>1729</v>
      </c>
      <c r="Q123" s="68">
        <f>IF(E123="OnGainRelic", 0, IF(OR(P123="Quest", P123="Monster", P123="Event", D123="Basic", D123="Upgrade"), -1, MIN(IFERROR(VLOOKUP(D123, Relic_Price_Config!$A$5:$E$9, 4, FALSE), 350), MAX(IFERROR(VLOOKUP(D123, Relic_Price_Config!$A$5:$E$9, 3, FALSE), 210), ROUND((IFERROR(VLOOKUP(F123, Relic_Price_Config!$G$5:$N$100, 4, FALSE), 280) + N(H123) * IFERROR(VLOOKUP(F123, Relic_Price_Config!$G$5:$N$100, 5, FALSE), 10) + ABS(N(M123)) * IFERROR(VLOOKUP(F123, Relic_Price_Config!$G$5:$N$100, 6, FALSE), 15) + IF(N(N123)&gt;1, (N(N123)-1)*10, 0)) * IFERROR(VLOOKUP(D123, Relic_Price_Config!$A$5:$E$9, 2, FALSE), 1), 0)))))</f>
        <v>0</v>
      </c>
      <c r="R123" s="68">
        <f t="shared" si="6"/>
        <v>0</v>
      </c>
      <c r="S123" s="68">
        <f t="shared" si="7"/>
        <v>0</v>
      </c>
      <c r="T123" s="68">
        <f>IF(E123="OnGainRelic", 0, MIN(IFERROR(VLOOKUP(D123, Relic_Price_Config!$A$5:$E$9, 4, FALSE), 350), MAX(IFERROR(VLOOKUP(D123, Relic_Price_Config!$A$5:$E$9, 3, FALSE), 210), ROUND((IFERROR(VLOOKUP(F123, Relic_Price_Config!$G$5:$N$100, 4, FALSE), 280) + N(H123) * IFERROR(VLOOKUP(F123, Relic_Price_Config!$G$5:$N$100, 5, FALSE), 10) + ABS(N(M123)) * IFERROR(VLOOKUP(F123, Relic_Price_Config!$G$5:$N$100, 6, FALSE), 15) + IF(N(N123)&gt;1, (N(N123)-1)*10, 0)) * IFERROR(VLOOKUP(D123, Relic_Price_Config!$A$5:$E$9, 2, FALSE), 1), 0))))</f>
        <v>0</v>
      </c>
      <c r="U123" s="56" t="str">
        <f>IF(E123="OnGainRelic", "획득 시 즉발 (0원)", IFERROR(VLOOKUP(F123, Relic_Price_Config!$G$5:$N$100, 2, FALSE), "기타 효과"))</f>
        <v>획득 시 즉발 (0원)</v>
      </c>
    </row>
    <row r="124" spans="1:21" ht="41.4" customHeight="1">
      <c r="A124" s="56" t="s">
        <v>2567</v>
      </c>
      <c r="B124" s="57" t="s">
        <v>2568</v>
      </c>
      <c r="C124" s="57" t="s">
        <v>2218</v>
      </c>
      <c r="D124" s="56" t="s">
        <v>34</v>
      </c>
      <c r="E124" s="56" t="s">
        <v>2202</v>
      </c>
      <c r="F124" s="56" t="s">
        <v>1579</v>
      </c>
      <c r="G124" s="56" t="s">
        <v>45</v>
      </c>
      <c r="H124" s="56">
        <v>3</v>
      </c>
      <c r="I124" s="56"/>
      <c r="J124" s="56">
        <v>0</v>
      </c>
      <c r="K124" s="56"/>
      <c r="L124" s="56"/>
      <c r="M124" s="56">
        <v>0</v>
      </c>
      <c r="N124" s="56">
        <v>0</v>
      </c>
      <c r="O124" s="56">
        <v>-1</v>
      </c>
      <c r="P124" s="56" t="s">
        <v>1729</v>
      </c>
      <c r="Q124" s="68">
        <f>IF(E124="OnGainRelic", 0, IF(OR(P124="Quest", P124="Monster", P124="Event", D124="Basic", D124="Upgrade"), -1, MIN(IFERROR(VLOOKUP(D124, Relic_Price_Config!$A$5:$E$9, 4, FALSE), 350), MAX(IFERROR(VLOOKUP(D124, Relic_Price_Config!$A$5:$E$9, 3, FALSE), 210), ROUND((IFERROR(VLOOKUP(F124, Relic_Price_Config!$G$5:$N$100, 4, FALSE), 280) + N(H124) * IFERROR(VLOOKUP(F124, Relic_Price_Config!$G$5:$N$100, 5, FALSE), 10) + ABS(N(M124)) * IFERROR(VLOOKUP(F124, Relic_Price_Config!$G$5:$N$100, 6, FALSE), 15) + IF(N(N124)&gt;1, (N(N124)-1)*10, 0)) * IFERROR(VLOOKUP(D124, Relic_Price_Config!$A$5:$E$9, 2, FALSE), 1), 0)))))</f>
        <v>-1</v>
      </c>
      <c r="R124" s="68">
        <f t="shared" si="6"/>
        <v>220</v>
      </c>
      <c r="S124" s="68">
        <f t="shared" si="7"/>
        <v>410</v>
      </c>
      <c r="T124" s="68">
        <f>IF(E124="OnGainRelic", 0, MIN(IFERROR(VLOOKUP(D124, Relic_Price_Config!$A$5:$E$9, 4, FALSE), 350), MAX(IFERROR(VLOOKUP(D124, Relic_Price_Config!$A$5:$E$9, 3, FALSE), 210), ROUND((IFERROR(VLOOKUP(F124, Relic_Price_Config!$G$5:$N$100, 4, FALSE), 280) + N(H124) * IFERROR(VLOOKUP(F124, Relic_Price_Config!$G$5:$N$100, 5, FALSE), 10) + ABS(N(M124)) * IFERROR(VLOOKUP(F124, Relic_Price_Config!$G$5:$N$100, 6, FALSE), 15) + IF(N(N124)&gt;1, (N(N124)-1)*10, 0)) * IFERROR(VLOOKUP(D124, Relic_Price_Config!$A$5:$E$9, 2, FALSE), 1), 0))))</f>
        <v>315</v>
      </c>
      <c r="U124" s="56" t="str">
        <f>IF(E124="OnGainRelic", "획득 시 즉발 (0원)", IFERROR(VLOOKUP(F124, Relic_Price_Config!$G$5:$N$100, 2, FALSE), "기타 효과"))</f>
        <v>방어 관련 [체력 회복]</v>
      </c>
    </row>
    <row r="125" spans="1:21" ht="27.6" customHeight="1">
      <c r="A125" s="56" t="s">
        <v>2569</v>
      </c>
      <c r="B125" s="57" t="s">
        <v>2570</v>
      </c>
      <c r="C125" s="62" t="s">
        <v>2571</v>
      </c>
      <c r="D125" s="56" t="s">
        <v>34</v>
      </c>
      <c r="E125" s="56" t="s">
        <v>2212</v>
      </c>
      <c r="F125" s="56" t="s">
        <v>1717</v>
      </c>
      <c r="G125" s="56" t="s">
        <v>36</v>
      </c>
      <c r="H125" s="56">
        <v>0</v>
      </c>
      <c r="I125" s="56"/>
      <c r="J125" s="56">
        <v>0</v>
      </c>
      <c r="K125" s="56" t="s">
        <v>109</v>
      </c>
      <c r="L125" s="56"/>
      <c r="M125" s="56">
        <v>1</v>
      </c>
      <c r="N125" s="56">
        <v>2</v>
      </c>
      <c r="O125" s="56">
        <v>-1</v>
      </c>
      <c r="P125" s="56" t="s">
        <v>1729</v>
      </c>
      <c r="Q125" s="68">
        <f>IF(E125="OnGainRelic", 0, IF(OR(P125="Quest", P125="Monster", P125="Event", D125="Basic", D125="Upgrade"), -1, MIN(IFERROR(VLOOKUP(D125, Relic_Price_Config!$A$5:$E$9, 4, FALSE), 350), MAX(IFERROR(VLOOKUP(D125, Relic_Price_Config!$A$5:$E$9, 3, FALSE), 210), ROUND((IFERROR(VLOOKUP(F125, Relic_Price_Config!$G$5:$N$100, 4, FALSE), 280) + N(H125) * IFERROR(VLOOKUP(F125, Relic_Price_Config!$G$5:$N$100, 5, FALSE), 10) + ABS(N(M125)) * IFERROR(VLOOKUP(F125, Relic_Price_Config!$G$5:$N$100, 6, FALSE), 15) + IF(N(N125)&gt;1, (N(N125)-1)*10, 0)) * IFERROR(VLOOKUP(D125, Relic_Price_Config!$A$5:$E$9, 2, FALSE), 1), 0)))))</f>
        <v>-1</v>
      </c>
      <c r="R125" s="68">
        <f t="shared" si="6"/>
        <v>210</v>
      </c>
      <c r="S125" s="68">
        <f t="shared" si="7"/>
        <v>390</v>
      </c>
      <c r="T125" s="68">
        <f>IF(E125="OnGainRelic", 0, MIN(IFERROR(VLOOKUP(D125, Relic_Price_Config!$A$5:$E$9, 4, FALSE), 350), MAX(IFERROR(VLOOKUP(D125, Relic_Price_Config!$A$5:$E$9, 3, FALSE), 210), ROUND((IFERROR(VLOOKUP(F125, Relic_Price_Config!$G$5:$N$100, 4, FALSE), 280) + N(H125) * IFERROR(VLOOKUP(F125, Relic_Price_Config!$G$5:$N$100, 5, FALSE), 10) + ABS(N(M125)) * IFERROR(VLOOKUP(F125, Relic_Price_Config!$G$5:$N$100, 6, FALSE), 15) + IF(N(N125)&gt;1, (N(N125)-1)*10, 0)) * IFERROR(VLOOKUP(D125, Relic_Price_Config!$A$5:$E$9, 2, FALSE), 1), 0))))</f>
        <v>300</v>
      </c>
      <c r="U125" s="56" t="str">
        <f>IF(E125="OnGainRelic", "획득 시 즉발 (0원)", IFERROR(VLOOKUP(F125, Relic_Price_Config!$G$5:$N$100, 2, FALSE), "기타 효과"))</f>
        <v>공격 관련 [중독 지속 피해]</v>
      </c>
    </row>
    <row r="126" spans="1:21" ht="41.4" customHeight="1">
      <c r="A126" s="56" t="s">
        <v>2572</v>
      </c>
      <c r="B126" s="57" t="s">
        <v>2573</v>
      </c>
      <c r="C126" s="57" t="s">
        <v>2574</v>
      </c>
      <c r="D126" s="56" t="s">
        <v>34</v>
      </c>
      <c r="E126" s="56" t="s">
        <v>2289</v>
      </c>
      <c r="F126" s="56" t="s">
        <v>44</v>
      </c>
      <c r="G126" s="56" t="s">
        <v>45</v>
      </c>
      <c r="H126" s="56">
        <v>2</v>
      </c>
      <c r="I126" s="56"/>
      <c r="J126" s="56">
        <v>0</v>
      </c>
      <c r="K126" s="56"/>
      <c r="L126" s="56"/>
      <c r="M126" s="56">
        <v>0</v>
      </c>
      <c r="N126" s="56">
        <v>0</v>
      </c>
      <c r="O126" s="56">
        <v>-1</v>
      </c>
      <c r="P126" s="56" t="s">
        <v>1729</v>
      </c>
      <c r="Q126" s="68">
        <f>IF(E126="OnGainRelic", 0, IF(OR(P126="Quest", P126="Monster", P126="Event", D126="Basic", D126="Upgrade"), -1, MIN(IFERROR(VLOOKUP(D126, Relic_Price_Config!$A$5:$E$9, 4, FALSE), 350), MAX(IFERROR(VLOOKUP(D126, Relic_Price_Config!$A$5:$E$9, 3, FALSE), 210), ROUND((IFERROR(VLOOKUP(F126, Relic_Price_Config!$G$5:$N$100, 4, FALSE), 280) + N(H126) * IFERROR(VLOOKUP(F126, Relic_Price_Config!$G$5:$N$100, 5, FALSE), 10) + ABS(N(M126)) * IFERROR(VLOOKUP(F126, Relic_Price_Config!$G$5:$N$100, 6, FALSE), 15) + IF(N(N126)&gt;1, (N(N126)-1)*10, 0)) * IFERROR(VLOOKUP(D126, Relic_Price_Config!$A$5:$E$9, 2, FALSE), 1), 0)))))</f>
        <v>-1</v>
      </c>
      <c r="R126" s="68">
        <f t="shared" si="6"/>
        <v>210</v>
      </c>
      <c r="S126" s="68">
        <f t="shared" si="7"/>
        <v>390</v>
      </c>
      <c r="T126" s="68">
        <f>IF(E126="OnGainRelic", 0, MIN(IFERROR(VLOOKUP(D126, Relic_Price_Config!$A$5:$E$9, 4, FALSE), 350), MAX(IFERROR(VLOOKUP(D126, Relic_Price_Config!$A$5:$E$9, 3, FALSE), 210), ROUND((IFERROR(VLOOKUP(F126, Relic_Price_Config!$G$5:$N$100, 4, FALSE), 280) + N(H126) * IFERROR(VLOOKUP(F126, Relic_Price_Config!$G$5:$N$100, 5, FALSE), 10) + ABS(N(M126)) * IFERROR(VLOOKUP(F126, Relic_Price_Config!$G$5:$N$100, 6, FALSE), 15) + IF(N(N126)&gt;1, (N(N126)-1)*10, 0)) * IFERROR(VLOOKUP(D126, Relic_Price_Config!$A$5:$E$9, 2, FALSE), 1), 0))))</f>
        <v>300</v>
      </c>
      <c r="U126" s="56" t="str">
        <f>IF(E126="OnGainRelic", "획득 시 즉발 (0원)", IFERROR(VLOOKUP(F126, Relic_Price_Config!$G$5:$N$100, 2, FALSE), "기타 효과"))</f>
        <v>방어 관련 [보호막 획득]</v>
      </c>
    </row>
    <row r="127" spans="1:21" ht="41.4" customHeight="1">
      <c r="A127" s="56" t="s">
        <v>2575</v>
      </c>
      <c r="B127" s="57" t="s">
        <v>2576</v>
      </c>
      <c r="C127" s="57" t="s">
        <v>2577</v>
      </c>
      <c r="D127" s="56" t="s">
        <v>34</v>
      </c>
      <c r="E127" s="56" t="s">
        <v>2202</v>
      </c>
      <c r="F127" s="56" t="s">
        <v>1829</v>
      </c>
      <c r="G127" s="56" t="s">
        <v>108</v>
      </c>
      <c r="H127" s="56">
        <v>0</v>
      </c>
      <c r="I127" s="56"/>
      <c r="J127" s="56">
        <v>0</v>
      </c>
      <c r="K127" s="56" t="s">
        <v>562</v>
      </c>
      <c r="L127" s="56"/>
      <c r="M127" s="56">
        <v>1</v>
      </c>
      <c r="N127" s="56">
        <v>1</v>
      </c>
      <c r="O127" s="56">
        <v>-1</v>
      </c>
      <c r="P127" s="56" t="s">
        <v>1729</v>
      </c>
      <c r="Q127" s="68">
        <f>IF(E127="OnGainRelic", 0, IF(OR(P127="Quest", P127="Monster", P127="Event", D127="Basic", D127="Upgrade"), -1, MIN(IFERROR(VLOOKUP(D127, Relic_Price_Config!$A$5:$E$9, 4, FALSE), 350), MAX(IFERROR(VLOOKUP(D127, Relic_Price_Config!$A$5:$E$9, 3, FALSE), 210), ROUND((IFERROR(VLOOKUP(F127, Relic_Price_Config!$G$5:$N$100, 4, FALSE), 280) + N(H127) * IFERROR(VLOOKUP(F127, Relic_Price_Config!$G$5:$N$100, 5, FALSE), 10) + ABS(N(M127)) * IFERROR(VLOOKUP(F127, Relic_Price_Config!$G$5:$N$100, 6, FALSE), 15) + IF(N(N127)&gt;1, (N(N127)-1)*10, 0)) * IFERROR(VLOOKUP(D127, Relic_Price_Config!$A$5:$E$9, 2, FALSE), 1), 0)))))</f>
        <v>-1</v>
      </c>
      <c r="R127" s="68">
        <f t="shared" si="6"/>
        <v>205</v>
      </c>
      <c r="S127" s="68">
        <f t="shared" si="7"/>
        <v>385</v>
      </c>
      <c r="T127" s="68">
        <f>IF(E127="OnGainRelic", 0, MIN(IFERROR(VLOOKUP(D127, Relic_Price_Config!$A$5:$E$9, 4, FALSE), 350), MAX(IFERROR(VLOOKUP(D127, Relic_Price_Config!$A$5:$E$9, 3, FALSE), 210), ROUND((IFERROR(VLOOKUP(F127, Relic_Price_Config!$G$5:$N$100, 4, FALSE), 280) + N(H127) * IFERROR(VLOOKUP(F127, Relic_Price_Config!$G$5:$N$100, 5, FALSE), 10) + ABS(N(M127)) * IFERROR(VLOOKUP(F127, Relic_Price_Config!$G$5:$N$100, 6, FALSE), 15) + IF(N(N127)&gt;1, (N(N127)-1)*10, 0)) * IFERROR(VLOOKUP(D127, Relic_Price_Config!$A$5:$E$9, 2, FALSE), 1), 0))))</f>
        <v>295</v>
      </c>
      <c r="U127" s="56" t="str">
        <f>IF(E127="OnGainRelic", "획득 시 즉발 (0원)", IFERROR(VLOOKUP(F127, Relic_Price_Config!$G$5:$N$100, 2, FALSE), "기타 효과"))</f>
        <v>공격 관련 [복합 상태이상]</v>
      </c>
    </row>
    <row r="128" spans="1:21" ht="41.4" customHeight="1">
      <c r="A128" s="56" t="s">
        <v>2578</v>
      </c>
      <c r="B128" s="57" t="s">
        <v>2579</v>
      </c>
      <c r="C128" s="57" t="s">
        <v>2580</v>
      </c>
      <c r="D128" s="56" t="s">
        <v>34</v>
      </c>
      <c r="E128" s="56" t="s">
        <v>2202</v>
      </c>
      <c r="F128" s="56" t="s">
        <v>1771</v>
      </c>
      <c r="G128" s="56" t="s">
        <v>45</v>
      </c>
      <c r="H128" s="56">
        <v>0</v>
      </c>
      <c r="I128" s="56"/>
      <c r="J128" s="56">
        <v>0</v>
      </c>
      <c r="K128" s="56" t="s">
        <v>159</v>
      </c>
      <c r="L128" s="56"/>
      <c r="M128" s="56">
        <v>2</v>
      </c>
      <c r="N128" s="56">
        <v>-1</v>
      </c>
      <c r="O128" s="56">
        <v>-1</v>
      </c>
      <c r="P128" s="56" t="s">
        <v>1729</v>
      </c>
      <c r="Q128" s="68">
        <f>IF(E128="OnGainRelic", 0, IF(OR(P128="Quest", P128="Monster", P128="Event", D128="Basic", D128="Upgrade"), -1, MIN(IFERROR(VLOOKUP(D128, Relic_Price_Config!$A$5:$E$9, 4, FALSE), 350), MAX(IFERROR(VLOOKUP(D128, Relic_Price_Config!$A$5:$E$9, 3, FALSE), 210), ROUND((IFERROR(VLOOKUP(F128, Relic_Price_Config!$G$5:$N$100, 4, FALSE), 280) + N(H128) * IFERROR(VLOOKUP(F128, Relic_Price_Config!$G$5:$N$100, 5, FALSE), 10) + ABS(N(M128)) * IFERROR(VLOOKUP(F128, Relic_Price_Config!$G$5:$N$100, 6, FALSE), 15) + IF(N(N128)&gt;1, (N(N128)-1)*10, 0)) * IFERROR(VLOOKUP(D128, Relic_Price_Config!$A$5:$E$9, 2, FALSE), 1), 0)))))</f>
        <v>-1</v>
      </c>
      <c r="R128" s="68">
        <f t="shared" si="6"/>
        <v>230</v>
      </c>
      <c r="S128" s="68">
        <f t="shared" si="7"/>
        <v>430</v>
      </c>
      <c r="T128" s="68">
        <f>IF(E128="OnGainRelic", 0, MIN(IFERROR(VLOOKUP(D128, Relic_Price_Config!$A$5:$E$9, 4, FALSE), 350), MAX(IFERROR(VLOOKUP(D128, Relic_Price_Config!$A$5:$E$9, 3, FALSE), 210), ROUND((IFERROR(VLOOKUP(F128, Relic_Price_Config!$G$5:$N$100, 4, FALSE), 280) + N(H128) * IFERROR(VLOOKUP(F128, Relic_Price_Config!$G$5:$N$100, 5, FALSE), 10) + ABS(N(M128)) * IFERROR(VLOOKUP(F128, Relic_Price_Config!$G$5:$N$100, 6, FALSE), 15) + IF(N(N128)&gt;1, (N(N128)-1)*10, 0)) * IFERROR(VLOOKUP(D128, Relic_Price_Config!$A$5:$E$9, 2, FALSE), 1), 0))))</f>
        <v>330</v>
      </c>
      <c r="U128" s="56" t="str">
        <f>IF(E128="OnGainRelic", "획득 시 즉발 (0원)", IFERROR(VLOOKUP(F128, Relic_Price_Config!$G$5:$N$100, 2, FALSE), "기타 효과"))</f>
        <v>방어 증가 [아군 방어 상승]</v>
      </c>
    </row>
    <row r="129" spans="1:21" ht="41.4" customHeight="1">
      <c r="A129" s="56" t="s">
        <v>2581</v>
      </c>
      <c r="B129" s="57" t="s">
        <v>2582</v>
      </c>
      <c r="C129" s="57" t="s">
        <v>2580</v>
      </c>
      <c r="D129" s="56" t="s">
        <v>34</v>
      </c>
      <c r="E129" s="56" t="s">
        <v>2202</v>
      </c>
      <c r="F129" s="56" t="s">
        <v>1860</v>
      </c>
      <c r="G129" s="56" t="s">
        <v>45</v>
      </c>
      <c r="H129" s="56">
        <v>0</v>
      </c>
      <c r="I129" s="56"/>
      <c r="J129" s="56">
        <v>0</v>
      </c>
      <c r="K129" s="56" t="s">
        <v>229</v>
      </c>
      <c r="L129" s="56"/>
      <c r="M129" s="56">
        <v>2</v>
      </c>
      <c r="N129" s="56">
        <v>-1</v>
      </c>
      <c r="O129" s="56">
        <v>-1</v>
      </c>
      <c r="P129" s="56" t="s">
        <v>1729</v>
      </c>
      <c r="Q129" s="68">
        <f>IF(E129="OnGainRelic", 0, IF(OR(P129="Quest", P129="Monster", P129="Event", D129="Basic", D129="Upgrade"), -1, MIN(IFERROR(VLOOKUP(D129, Relic_Price_Config!$A$5:$E$9, 4, FALSE), 350), MAX(IFERROR(VLOOKUP(D129, Relic_Price_Config!$A$5:$E$9, 3, FALSE), 210), ROUND((IFERROR(VLOOKUP(F129, Relic_Price_Config!$G$5:$N$100, 4, FALSE), 280) + N(H129) * IFERROR(VLOOKUP(F129, Relic_Price_Config!$G$5:$N$100, 5, FALSE), 10) + ABS(N(M129)) * IFERROR(VLOOKUP(F129, Relic_Price_Config!$G$5:$N$100, 6, FALSE), 15) + IF(N(N129)&gt;1, (N(N129)-1)*10, 0)) * IFERROR(VLOOKUP(D129, Relic_Price_Config!$A$5:$E$9, 2, FALSE), 1), 0)))))</f>
        <v>-1</v>
      </c>
      <c r="R129" s="68">
        <f t="shared" si="6"/>
        <v>230</v>
      </c>
      <c r="S129" s="68">
        <f t="shared" si="7"/>
        <v>430</v>
      </c>
      <c r="T129" s="68">
        <f>IF(E129="OnGainRelic", 0, MIN(IFERROR(VLOOKUP(D129, Relic_Price_Config!$A$5:$E$9, 4, FALSE), 350), MAX(IFERROR(VLOOKUP(D129, Relic_Price_Config!$A$5:$E$9, 3, FALSE), 210), ROUND((IFERROR(VLOOKUP(F129, Relic_Price_Config!$G$5:$N$100, 4, FALSE), 280) + N(H129) * IFERROR(VLOOKUP(F129, Relic_Price_Config!$G$5:$N$100, 5, FALSE), 10) + ABS(N(M129)) * IFERROR(VLOOKUP(F129, Relic_Price_Config!$G$5:$N$100, 6, FALSE), 15) + IF(N(N129)&gt;1, (N(N129)-1)*10, 0)) * IFERROR(VLOOKUP(D129, Relic_Price_Config!$A$5:$E$9, 2, FALSE), 1), 0))))</f>
        <v>330</v>
      </c>
      <c r="U129" s="56" t="str">
        <f>IF(E129="OnGainRelic", "획득 시 즉발 (0원)", IFERROR(VLOOKUP(F129, Relic_Price_Config!$G$5:$N$100, 2, FALSE), "기타 효과"))</f>
        <v>방어 증가 [아군 방어 상승]</v>
      </c>
    </row>
    <row r="130" spans="1:21" ht="41.4" customHeight="1">
      <c r="A130" s="56" t="s">
        <v>2583</v>
      </c>
      <c r="B130" s="57" t="s">
        <v>2584</v>
      </c>
      <c r="C130" s="57" t="s">
        <v>2585</v>
      </c>
      <c r="D130" s="56" t="s">
        <v>34</v>
      </c>
      <c r="E130" s="56" t="s">
        <v>2202</v>
      </c>
      <c r="F130" s="56" t="s">
        <v>652</v>
      </c>
      <c r="G130" s="56" t="s">
        <v>108</v>
      </c>
      <c r="H130" s="56">
        <v>6</v>
      </c>
      <c r="I130" s="56"/>
      <c r="J130" s="56">
        <v>0</v>
      </c>
      <c r="K130" s="56"/>
      <c r="L130" s="56"/>
      <c r="M130" s="56">
        <v>0</v>
      </c>
      <c r="N130" s="56">
        <v>0</v>
      </c>
      <c r="O130" s="56">
        <v>-1</v>
      </c>
      <c r="P130" s="56" t="s">
        <v>1729</v>
      </c>
      <c r="Q130" s="68">
        <f>IF(E130="OnGainRelic", 0, IF(OR(P130="Quest", P130="Monster", P130="Event", D130="Basic", D130="Upgrade"), -1, MIN(IFERROR(VLOOKUP(D130, Relic_Price_Config!$A$5:$E$9, 4, FALSE), 350), MAX(IFERROR(VLOOKUP(D130, Relic_Price_Config!$A$5:$E$9, 3, FALSE), 210), ROUND((IFERROR(VLOOKUP(F130, Relic_Price_Config!$G$5:$N$100, 4, FALSE), 280) + N(H130) * IFERROR(VLOOKUP(F130, Relic_Price_Config!$G$5:$N$100, 5, FALSE), 10) + ABS(N(M130)) * IFERROR(VLOOKUP(F130, Relic_Price_Config!$G$5:$N$100, 6, FALSE), 15) + IF(N(N130)&gt;1, (N(N130)-1)*10, 0)) * IFERROR(VLOOKUP(D130, Relic_Price_Config!$A$5:$E$9, 2, FALSE), 1), 0)))))</f>
        <v>-1</v>
      </c>
      <c r="R130" s="68">
        <f t="shared" si="6"/>
        <v>225</v>
      </c>
      <c r="S130" s="68">
        <f t="shared" si="7"/>
        <v>415</v>
      </c>
      <c r="T130" s="68">
        <f>IF(E130="OnGainRelic", 0, MIN(IFERROR(VLOOKUP(D130, Relic_Price_Config!$A$5:$E$9, 4, FALSE), 350), MAX(IFERROR(VLOOKUP(D130, Relic_Price_Config!$A$5:$E$9, 3, FALSE), 210), ROUND((IFERROR(VLOOKUP(F130, Relic_Price_Config!$G$5:$N$100, 4, FALSE), 280) + N(H130) * IFERROR(VLOOKUP(F130, Relic_Price_Config!$G$5:$N$100, 5, FALSE), 10) + ABS(N(M130)) * IFERROR(VLOOKUP(F130, Relic_Price_Config!$G$5:$N$100, 6, FALSE), 15) + IF(N(N130)&gt;1, (N(N130)-1)*10, 0)) * IFERROR(VLOOKUP(D130, Relic_Price_Config!$A$5:$E$9, 2, FALSE), 1), 0))))</f>
        <v>320</v>
      </c>
      <c r="U130" s="56" t="str">
        <f>IF(E130="OnGainRelic", "획득 시 즉발 (0원)", IFERROR(VLOOKUP(F130, Relic_Price_Config!$G$5:$N$100, 2, FALSE), "기타 효과"))</f>
        <v>광역 피해 [전체 데미지]</v>
      </c>
    </row>
    <row r="131" spans="1:21" ht="41.4" customHeight="1">
      <c r="A131" s="56" t="s">
        <v>2586</v>
      </c>
      <c r="B131" s="57" t="s">
        <v>2587</v>
      </c>
      <c r="C131" s="57" t="s">
        <v>2588</v>
      </c>
      <c r="D131" s="56" t="s">
        <v>34</v>
      </c>
      <c r="E131" s="56" t="s">
        <v>2260</v>
      </c>
      <c r="F131" s="56" t="s">
        <v>1076</v>
      </c>
      <c r="G131" s="56" t="s">
        <v>45</v>
      </c>
      <c r="H131" s="56">
        <v>0</v>
      </c>
      <c r="I131" s="56"/>
      <c r="J131" s="56">
        <v>0</v>
      </c>
      <c r="K131" s="56" t="s">
        <v>322</v>
      </c>
      <c r="L131" s="56"/>
      <c r="M131" s="56">
        <v>1</v>
      </c>
      <c r="N131" s="56">
        <v>1</v>
      </c>
      <c r="O131" s="56">
        <v>-1</v>
      </c>
      <c r="P131" s="56" t="s">
        <v>1729</v>
      </c>
      <c r="Q131" s="68">
        <f>IF(E131="OnGainRelic", 0, IF(OR(P131="Quest", P131="Monster", P131="Event", D131="Basic", D131="Upgrade"), -1, MIN(IFERROR(VLOOKUP(D131, Relic_Price_Config!$A$5:$E$9, 4, FALSE), 350), MAX(IFERROR(VLOOKUP(D131, Relic_Price_Config!$A$5:$E$9, 3, FALSE), 210), ROUND((IFERROR(VLOOKUP(F131, Relic_Price_Config!$G$5:$N$100, 4, FALSE), 280) + N(H131) * IFERROR(VLOOKUP(F131, Relic_Price_Config!$G$5:$N$100, 5, FALSE), 10) + ABS(N(M131)) * IFERROR(VLOOKUP(F131, Relic_Price_Config!$G$5:$N$100, 6, FALSE), 15) + IF(N(N131)&gt;1, (N(N131)-1)*10, 0)) * IFERROR(VLOOKUP(D131, Relic_Price_Config!$A$5:$E$9, 2, FALSE), 1), 0)))))</f>
        <v>-1</v>
      </c>
      <c r="R131" s="68">
        <f t="shared" si="6"/>
        <v>205</v>
      </c>
      <c r="S131" s="68">
        <f t="shared" si="7"/>
        <v>385</v>
      </c>
      <c r="T131" s="68">
        <f>IF(E131="OnGainRelic", 0, MIN(IFERROR(VLOOKUP(D131, Relic_Price_Config!$A$5:$E$9, 4, FALSE), 350), MAX(IFERROR(VLOOKUP(D131, Relic_Price_Config!$A$5:$E$9, 3, FALSE), 210), ROUND((IFERROR(VLOOKUP(F131, Relic_Price_Config!$G$5:$N$100, 4, FALSE), 280) + N(H131) * IFERROR(VLOOKUP(F131, Relic_Price_Config!$G$5:$N$100, 5, FALSE), 10) + ABS(N(M131)) * IFERROR(VLOOKUP(F131, Relic_Price_Config!$G$5:$N$100, 6, FALSE), 15) + IF(N(N131)&gt;1, (N(N131)-1)*10, 0)) * IFERROR(VLOOKUP(D131, Relic_Price_Config!$A$5:$E$9, 2, FALSE), 1), 0))))</f>
        <v>295</v>
      </c>
      <c r="U131" s="56" t="str">
        <f>IF(E131="OnGainRelic", "획득 시 즉발 (0원)", IFERROR(VLOOKUP(F131, Relic_Price_Config!$G$5:$N$100, 2, FALSE), "기타 효과"))</f>
        <v>방어 관련 [강철: 피해 1 고정]</v>
      </c>
    </row>
    <row r="132" spans="1:21" ht="27.6" customHeight="1">
      <c r="A132" s="56" t="s">
        <v>2589</v>
      </c>
      <c r="B132" s="57" t="s">
        <v>2590</v>
      </c>
      <c r="C132" s="57" t="s">
        <v>2591</v>
      </c>
      <c r="D132" s="56" t="s">
        <v>34</v>
      </c>
      <c r="E132" s="56" t="s">
        <v>2202</v>
      </c>
      <c r="F132" s="56" t="s">
        <v>1308</v>
      </c>
      <c r="G132" s="56" t="s">
        <v>108</v>
      </c>
      <c r="H132" s="56">
        <v>0</v>
      </c>
      <c r="I132" s="56"/>
      <c r="J132" s="56">
        <v>0</v>
      </c>
      <c r="K132" s="56" t="s">
        <v>130</v>
      </c>
      <c r="L132" s="56"/>
      <c r="M132" s="56">
        <v>1</v>
      </c>
      <c r="N132" s="56">
        <v>1</v>
      </c>
      <c r="O132" s="56">
        <v>-1</v>
      </c>
      <c r="P132" s="56" t="s">
        <v>1729</v>
      </c>
      <c r="Q132" s="68">
        <f>IF(E132="OnGainRelic", 0, IF(OR(P132="Quest", P132="Monster", P132="Event", D132="Basic", D132="Upgrade"), -1, MIN(IFERROR(VLOOKUP(D132, Relic_Price_Config!$A$5:$E$9, 4, FALSE), 350), MAX(IFERROR(VLOOKUP(D132, Relic_Price_Config!$A$5:$E$9, 3, FALSE), 210), ROUND((IFERROR(VLOOKUP(F132, Relic_Price_Config!$G$5:$N$100, 4, FALSE), 280) + N(H132) * IFERROR(VLOOKUP(F132, Relic_Price_Config!$G$5:$N$100, 5, FALSE), 10) + ABS(N(M132)) * IFERROR(VLOOKUP(F132, Relic_Price_Config!$G$5:$N$100, 6, FALSE), 15) + IF(N(N132)&gt;1, (N(N132)-1)*10, 0)) * IFERROR(VLOOKUP(D132, Relic_Price_Config!$A$5:$E$9, 2, FALSE), 1), 0)))))</f>
        <v>-1</v>
      </c>
      <c r="R132" s="68">
        <f t="shared" ref="R132:R163" si="8">IF(OR(E132="OnGainRelic", O132&gt;0), 0, ROUND((IF(Q132&gt;0, Q132, T132)*0.7)/5, 0)*5)</f>
        <v>205</v>
      </c>
      <c r="S132" s="68">
        <f t="shared" ref="S132:S163" si="9">IF(OR(E132="OnGainRelic", O132&gt;0), 0, ROUND((IF(Q132&gt;0, Q132, T132)*1.3)/5, 0)*5)</f>
        <v>385</v>
      </c>
      <c r="T132" s="68">
        <f>IF(E132="OnGainRelic", 0, MIN(IFERROR(VLOOKUP(D132, Relic_Price_Config!$A$5:$E$9, 4, FALSE), 350), MAX(IFERROR(VLOOKUP(D132, Relic_Price_Config!$A$5:$E$9, 3, FALSE), 210), ROUND((IFERROR(VLOOKUP(F132, Relic_Price_Config!$G$5:$N$100, 4, FALSE), 280) + N(H132) * IFERROR(VLOOKUP(F132, Relic_Price_Config!$G$5:$N$100, 5, FALSE), 10) + ABS(N(M132)) * IFERROR(VLOOKUP(F132, Relic_Price_Config!$G$5:$N$100, 6, FALSE), 15) + IF(N(N132)&gt;1, (N(N132)-1)*10, 0)) * IFERROR(VLOOKUP(D132, Relic_Price_Config!$A$5:$E$9, 2, FALSE), 1), 0))))</f>
        <v>295</v>
      </c>
      <c r="U132" s="56" t="str">
        <f>IF(E132="OnGainRelic", "획득 시 즉발 (0원)", IFERROR(VLOOKUP(F132, Relic_Price_Config!$G$5:$N$100, 2, FALSE), "기타 효과"))</f>
        <v>공격 증가 [적 방어 스탯 감소]</v>
      </c>
    </row>
    <row r="133" spans="1:21" ht="41.4" customHeight="1">
      <c r="A133" s="56" t="s">
        <v>2592</v>
      </c>
      <c r="B133" s="57" t="s">
        <v>2593</v>
      </c>
      <c r="C133" s="57" t="s">
        <v>2201</v>
      </c>
      <c r="D133" s="56" t="s">
        <v>34</v>
      </c>
      <c r="E133" s="56" t="s">
        <v>2202</v>
      </c>
      <c r="F133" s="56" t="s">
        <v>70</v>
      </c>
      <c r="G133" s="56" t="s">
        <v>45</v>
      </c>
      <c r="H133" s="56">
        <v>0</v>
      </c>
      <c r="I133" s="56"/>
      <c r="J133" s="56">
        <v>0</v>
      </c>
      <c r="K133" s="56" t="s">
        <v>71</v>
      </c>
      <c r="L133" s="56"/>
      <c r="M133" s="56">
        <v>1</v>
      </c>
      <c r="N133" s="56">
        <v>-1</v>
      </c>
      <c r="O133" s="56">
        <v>-1</v>
      </c>
      <c r="P133" s="56" t="s">
        <v>1729</v>
      </c>
      <c r="Q133" s="68">
        <f>IF(E133="OnGainRelic", 0, IF(OR(P133="Quest", P133="Monster", P133="Event", D133="Basic", D133="Upgrade"), -1, MIN(IFERROR(VLOOKUP(D133, Relic_Price_Config!$A$5:$E$9, 4, FALSE), 350), MAX(IFERROR(VLOOKUP(D133, Relic_Price_Config!$A$5:$E$9, 3, FALSE), 210), ROUND((IFERROR(VLOOKUP(F133, Relic_Price_Config!$G$5:$N$100, 4, FALSE), 280) + N(H133) * IFERROR(VLOOKUP(F133, Relic_Price_Config!$G$5:$N$100, 5, FALSE), 10) + ABS(N(M133)) * IFERROR(VLOOKUP(F133, Relic_Price_Config!$G$5:$N$100, 6, FALSE), 15) + IF(N(N133)&gt;1, (N(N133)-1)*10, 0)) * IFERROR(VLOOKUP(D133, Relic_Price_Config!$A$5:$E$9, 2, FALSE), 1), 0)))))</f>
        <v>-1</v>
      </c>
      <c r="R133" s="68">
        <f t="shared" si="8"/>
        <v>215</v>
      </c>
      <c r="S133" s="68">
        <f t="shared" si="9"/>
        <v>395</v>
      </c>
      <c r="T133" s="68">
        <f>IF(E133="OnGainRelic", 0, MIN(IFERROR(VLOOKUP(D133, Relic_Price_Config!$A$5:$E$9, 4, FALSE), 350), MAX(IFERROR(VLOOKUP(D133, Relic_Price_Config!$A$5:$E$9, 3, FALSE), 210), ROUND((IFERROR(VLOOKUP(F133, Relic_Price_Config!$G$5:$N$100, 4, FALSE), 280) + N(H133) * IFERROR(VLOOKUP(F133, Relic_Price_Config!$G$5:$N$100, 5, FALSE), 10) + ABS(N(M133)) * IFERROR(VLOOKUP(F133, Relic_Price_Config!$G$5:$N$100, 6, FALSE), 15) + IF(N(N133)&gt;1, (N(N133)-1)*10, 0)) * IFERROR(VLOOKUP(D133, Relic_Price_Config!$A$5:$E$9, 2, FALSE), 1), 0))))</f>
        <v>305</v>
      </c>
      <c r="U133" s="56" t="str">
        <f>IF(E133="OnGainRelic", "획득 시 즉발 (0원)", IFERROR(VLOOKUP(F133, Relic_Price_Config!$G$5:$N$100, 2, FALSE), "기타 효과"))</f>
        <v>공격 증가 [아군 공격 상승]</v>
      </c>
    </row>
    <row r="134" spans="1:21" ht="55.2" customHeight="1">
      <c r="A134" s="56" t="s">
        <v>2594</v>
      </c>
      <c r="B134" s="57" t="s">
        <v>2595</v>
      </c>
      <c r="C134" s="57" t="s">
        <v>2334</v>
      </c>
      <c r="D134" s="56" t="s">
        <v>34</v>
      </c>
      <c r="E134" s="56" t="s">
        <v>2202</v>
      </c>
      <c r="F134" s="56" t="s">
        <v>418</v>
      </c>
      <c r="G134" s="56" t="s">
        <v>108</v>
      </c>
      <c r="H134" s="56">
        <v>0</v>
      </c>
      <c r="I134" s="56"/>
      <c r="J134" s="56">
        <v>0</v>
      </c>
      <c r="K134" s="56" t="s">
        <v>94</v>
      </c>
      <c r="L134" s="56"/>
      <c r="M134" s="56">
        <v>1</v>
      </c>
      <c r="N134" s="56">
        <v>1</v>
      </c>
      <c r="O134" s="56">
        <v>-1</v>
      </c>
      <c r="P134" s="56" t="s">
        <v>1729</v>
      </c>
      <c r="Q134" s="68">
        <f>IF(E134="OnGainRelic", 0, IF(OR(P134="Quest", P134="Monster", P134="Event", D134="Basic", D134="Upgrade"), -1, MIN(IFERROR(VLOOKUP(D134, Relic_Price_Config!$A$5:$E$9, 4, FALSE), 350), MAX(IFERROR(VLOOKUP(D134, Relic_Price_Config!$A$5:$E$9, 3, FALSE), 210), ROUND((IFERROR(VLOOKUP(F134, Relic_Price_Config!$G$5:$N$100, 4, FALSE), 280) + N(H134) * IFERROR(VLOOKUP(F134, Relic_Price_Config!$G$5:$N$100, 5, FALSE), 10) + ABS(N(M134)) * IFERROR(VLOOKUP(F134, Relic_Price_Config!$G$5:$N$100, 6, FALSE), 15) + IF(N(N134)&gt;1, (N(N134)-1)*10, 0)) * IFERROR(VLOOKUP(D134, Relic_Price_Config!$A$5:$E$9, 2, FALSE), 1), 0)))))</f>
        <v>-1</v>
      </c>
      <c r="R134" s="68">
        <f t="shared" si="8"/>
        <v>215</v>
      </c>
      <c r="S134" s="68">
        <f t="shared" si="9"/>
        <v>405</v>
      </c>
      <c r="T134" s="68">
        <f>IF(E134="OnGainRelic", 0, MIN(IFERROR(VLOOKUP(D134, Relic_Price_Config!$A$5:$E$9, 4, FALSE), 350), MAX(IFERROR(VLOOKUP(D134, Relic_Price_Config!$A$5:$E$9, 3, FALSE), 210), ROUND((IFERROR(VLOOKUP(F134, Relic_Price_Config!$G$5:$N$100, 4, FALSE), 280) + N(H134) * IFERROR(VLOOKUP(F134, Relic_Price_Config!$G$5:$N$100, 5, FALSE), 10) + ABS(N(M134)) * IFERROR(VLOOKUP(F134, Relic_Price_Config!$G$5:$N$100, 6, FALSE), 15) + IF(N(N134)&gt;1, (N(N134)-1)*10, 0)) * IFERROR(VLOOKUP(D134, Relic_Price_Config!$A$5:$E$9, 2, FALSE), 1), 0))))</f>
        <v>310</v>
      </c>
      <c r="U134" s="56" t="str">
        <f>IF(E134="OnGainRelic", "획득 시 즉발 (0원)", IFERROR(VLOOKUP(F134, Relic_Price_Config!$G$5:$N$100, 2, FALSE), "기타 효과"))</f>
        <v>공격 증가 [적 받는 피해 증가]</v>
      </c>
    </row>
    <row r="135" spans="1:21" ht="55.2" customHeight="1">
      <c r="A135" s="56" t="s">
        <v>2596</v>
      </c>
      <c r="B135" s="57" t="s">
        <v>2597</v>
      </c>
      <c r="C135" s="57" t="s">
        <v>2598</v>
      </c>
      <c r="D135" s="56" t="s">
        <v>34</v>
      </c>
      <c r="E135" s="56" t="s">
        <v>2202</v>
      </c>
      <c r="F135" s="56" t="s">
        <v>1091</v>
      </c>
      <c r="G135" s="56" t="s">
        <v>108</v>
      </c>
      <c r="H135" s="56">
        <v>0</v>
      </c>
      <c r="I135" s="56"/>
      <c r="J135" s="56">
        <v>0</v>
      </c>
      <c r="K135" s="56" t="s">
        <v>357</v>
      </c>
      <c r="L135" s="56"/>
      <c r="M135" s="56">
        <v>1</v>
      </c>
      <c r="N135" s="56">
        <v>1</v>
      </c>
      <c r="O135" s="56">
        <v>-1</v>
      </c>
      <c r="P135" s="56" t="s">
        <v>1729</v>
      </c>
      <c r="Q135" s="68">
        <f>IF(E135="OnGainRelic", 0, IF(OR(P135="Quest", P135="Monster", P135="Event", D135="Basic", D135="Upgrade"), -1, MIN(IFERROR(VLOOKUP(D135, Relic_Price_Config!$A$5:$E$9, 4, FALSE), 350), MAX(IFERROR(VLOOKUP(D135, Relic_Price_Config!$A$5:$E$9, 3, FALSE), 210), ROUND((IFERROR(VLOOKUP(F135, Relic_Price_Config!$G$5:$N$100, 4, FALSE), 280) + N(H135) * IFERROR(VLOOKUP(F135, Relic_Price_Config!$G$5:$N$100, 5, FALSE), 10) + ABS(N(M135)) * IFERROR(VLOOKUP(F135, Relic_Price_Config!$G$5:$N$100, 6, FALSE), 15) + IF(N(N135)&gt;1, (N(N135)-1)*10, 0)) * IFERROR(VLOOKUP(D135, Relic_Price_Config!$A$5:$E$9, 2, FALSE), 1), 0)))))</f>
        <v>-1</v>
      </c>
      <c r="R135" s="68">
        <f t="shared" si="8"/>
        <v>215</v>
      </c>
      <c r="S135" s="68">
        <f t="shared" si="9"/>
        <v>405</v>
      </c>
      <c r="T135" s="68">
        <f>IF(E135="OnGainRelic", 0, MIN(IFERROR(VLOOKUP(D135, Relic_Price_Config!$A$5:$E$9, 4, FALSE), 350), MAX(IFERROR(VLOOKUP(D135, Relic_Price_Config!$A$5:$E$9, 3, FALSE), 210), ROUND((IFERROR(VLOOKUP(F135, Relic_Price_Config!$G$5:$N$100, 4, FALSE), 280) + N(H135) * IFERROR(VLOOKUP(F135, Relic_Price_Config!$G$5:$N$100, 5, FALSE), 10) + ABS(N(M135)) * IFERROR(VLOOKUP(F135, Relic_Price_Config!$G$5:$N$100, 6, FALSE), 15) + IF(N(N135)&gt;1, (N(N135)-1)*10, 0)) * IFERROR(VLOOKUP(D135, Relic_Price_Config!$A$5:$E$9, 2, FALSE), 1), 0))))</f>
        <v>310</v>
      </c>
      <c r="U135" s="56" t="str">
        <f>IF(E135="OnGainRelic", "획득 시 즉발 (0원)", IFERROR(VLOOKUP(F135, Relic_Price_Config!$G$5:$N$100, 2, FALSE), "기타 효과"))</f>
        <v>방어 증가 [적 공격/화력 감소]</v>
      </c>
    </row>
    <row r="136" spans="1:21" ht="41.4" customHeight="1">
      <c r="A136" s="56" t="s">
        <v>2599</v>
      </c>
      <c r="B136" s="57" t="s">
        <v>2600</v>
      </c>
      <c r="C136" s="62" t="s">
        <v>2601</v>
      </c>
      <c r="D136" s="56" t="s">
        <v>34</v>
      </c>
      <c r="E136" s="56" t="s">
        <v>2202</v>
      </c>
      <c r="F136" s="56" t="s">
        <v>146</v>
      </c>
      <c r="G136" s="56" t="s">
        <v>45</v>
      </c>
      <c r="H136" s="56">
        <v>1</v>
      </c>
      <c r="I136" s="56"/>
      <c r="J136" s="56">
        <v>0</v>
      </c>
      <c r="K136" s="56"/>
      <c r="L136" s="56"/>
      <c r="M136" s="56">
        <v>0</v>
      </c>
      <c r="N136" s="56">
        <v>0</v>
      </c>
      <c r="O136" s="56">
        <v>-1</v>
      </c>
      <c r="P136" s="56" t="s">
        <v>1729</v>
      </c>
      <c r="Q136" s="68">
        <f>IF(E136="OnGainRelic", 0, IF(OR(P136="Quest", P136="Monster", P136="Event", D136="Basic", D136="Upgrade"), -1, MIN(IFERROR(VLOOKUP(D136, Relic_Price_Config!$A$5:$E$9, 4, FALSE), 350), MAX(IFERROR(VLOOKUP(D136, Relic_Price_Config!$A$5:$E$9, 3, FALSE), 210), ROUND((IFERROR(VLOOKUP(F136, Relic_Price_Config!$G$5:$N$100, 4, FALSE), 280) + N(H136) * IFERROR(VLOOKUP(F136, Relic_Price_Config!$G$5:$N$100, 5, FALSE), 10) + ABS(N(M136)) * IFERROR(VLOOKUP(F136, Relic_Price_Config!$G$5:$N$100, 6, FALSE), 15) + IF(N(N136)&gt;1, (N(N136)-1)*10, 0)) * IFERROR(VLOOKUP(D136, Relic_Price_Config!$A$5:$E$9, 2, FALSE), 1), 0)))))</f>
        <v>-1</v>
      </c>
      <c r="R136" s="68">
        <f t="shared" si="8"/>
        <v>230</v>
      </c>
      <c r="S136" s="68">
        <f t="shared" si="9"/>
        <v>430</v>
      </c>
      <c r="T136" s="68">
        <f>IF(E136="OnGainRelic", 0, MIN(IFERROR(VLOOKUP(D136, Relic_Price_Config!$A$5:$E$9, 4, FALSE), 350), MAX(IFERROR(VLOOKUP(D136, Relic_Price_Config!$A$5:$E$9, 3, FALSE), 210), ROUND((IFERROR(VLOOKUP(F136, Relic_Price_Config!$G$5:$N$100, 4, FALSE), 280) + N(H136) * IFERROR(VLOOKUP(F136, Relic_Price_Config!$G$5:$N$100, 5, FALSE), 10) + ABS(N(M136)) * IFERROR(VLOOKUP(F136, Relic_Price_Config!$G$5:$N$100, 6, FALSE), 15) + IF(N(N136)&gt;1, (N(N136)-1)*10, 0)) * IFERROR(VLOOKUP(D136, Relic_Price_Config!$A$5:$E$9, 2, FALSE), 1), 0))))</f>
        <v>330</v>
      </c>
      <c r="U136" s="56" t="str">
        <f>IF(E136="OnGainRelic", "획득 시 즉발 (0원)", IFERROR(VLOOKUP(F136, Relic_Price_Config!$G$5:$N$100, 2, FALSE), "기타 효과"))</f>
        <v>에너지 관련 (행동력 추가)</v>
      </c>
    </row>
    <row r="137" spans="1:21" ht="41.4" customHeight="1">
      <c r="A137" s="56" t="s">
        <v>2602</v>
      </c>
      <c r="B137" s="57" t="s">
        <v>2603</v>
      </c>
      <c r="C137" s="57" t="s">
        <v>2604</v>
      </c>
      <c r="D137" s="56" t="s">
        <v>34</v>
      </c>
      <c r="E137" s="56" t="s">
        <v>2225</v>
      </c>
      <c r="F137" s="56" t="s">
        <v>1851</v>
      </c>
      <c r="G137" s="56" t="s">
        <v>45</v>
      </c>
      <c r="H137" s="56">
        <v>15</v>
      </c>
      <c r="I137" s="56"/>
      <c r="J137" s="56">
        <v>0</v>
      </c>
      <c r="K137" s="56"/>
      <c r="L137" s="56"/>
      <c r="M137" s="56">
        <v>0</v>
      </c>
      <c r="N137" s="56">
        <v>0</v>
      </c>
      <c r="O137" s="56">
        <v>-1</v>
      </c>
      <c r="P137" s="56" t="s">
        <v>1729</v>
      </c>
      <c r="Q137" s="68">
        <f>IF(E137="OnGainRelic", 0, IF(OR(P137="Quest", P137="Monster", P137="Event", D137="Basic", D137="Upgrade"), -1, MIN(IFERROR(VLOOKUP(D137, Relic_Price_Config!$A$5:$E$9, 4, FALSE), 350), MAX(IFERROR(VLOOKUP(D137, Relic_Price_Config!$A$5:$E$9, 3, FALSE), 210), ROUND((IFERROR(VLOOKUP(F137, Relic_Price_Config!$G$5:$N$100, 4, FALSE), 280) + N(H137) * IFERROR(VLOOKUP(F137, Relic_Price_Config!$G$5:$N$100, 5, FALSE), 10) + ABS(N(M137)) * IFERROR(VLOOKUP(F137, Relic_Price_Config!$G$5:$N$100, 6, FALSE), 15) + IF(N(N137)&gt;1, (N(N137)-1)*10, 0)) * IFERROR(VLOOKUP(D137, Relic_Price_Config!$A$5:$E$9, 2, FALSE), 1), 0)))))</f>
        <v>-1</v>
      </c>
      <c r="R137" s="68">
        <f t="shared" si="8"/>
        <v>155</v>
      </c>
      <c r="S137" s="68">
        <f t="shared" si="9"/>
        <v>285</v>
      </c>
      <c r="T137" s="68">
        <f>IF(E137="OnGainRelic", 0, MIN(IFERROR(VLOOKUP(D137, Relic_Price_Config!$A$5:$E$9, 4, FALSE), 350), MAX(IFERROR(VLOOKUP(D137, Relic_Price_Config!$A$5:$E$9, 3, FALSE), 210), ROUND((IFERROR(VLOOKUP(F137, Relic_Price_Config!$G$5:$N$100, 4, FALSE), 280) + N(H137) * IFERROR(VLOOKUP(F137, Relic_Price_Config!$G$5:$N$100, 5, FALSE), 10) + ABS(N(M137)) * IFERROR(VLOOKUP(F137, Relic_Price_Config!$G$5:$N$100, 6, FALSE), 15) + IF(N(N137)&gt;1, (N(N137)-1)*10, 0)) * IFERROR(VLOOKUP(D137, Relic_Price_Config!$A$5:$E$9, 2, FALSE), 1), 0))))</f>
        <v>218</v>
      </c>
      <c r="U137" s="56" t="str">
        <f>IF(E137="OnGainRelic", "획득 시 즉발 (0원)", IFERROR(VLOOKUP(F137, Relic_Price_Config!$G$5:$N$100, 2, FALSE), "기타 효과"))</f>
        <v>경제 관련 (재화 획득)</v>
      </c>
    </row>
    <row r="138" spans="1:21" ht="41.4" customHeight="1">
      <c r="A138" s="56" t="s">
        <v>2605</v>
      </c>
      <c r="B138" s="57" t="s">
        <v>2606</v>
      </c>
      <c r="C138" s="57" t="s">
        <v>2607</v>
      </c>
      <c r="D138" s="56" t="s">
        <v>34</v>
      </c>
      <c r="E138" s="56" t="s">
        <v>2331</v>
      </c>
      <c r="F138" s="56" t="s">
        <v>44</v>
      </c>
      <c r="G138" s="56" t="s">
        <v>45</v>
      </c>
      <c r="H138" s="56">
        <v>3</v>
      </c>
      <c r="I138" s="56"/>
      <c r="J138" s="56">
        <v>0</v>
      </c>
      <c r="K138" s="56"/>
      <c r="L138" s="56"/>
      <c r="M138" s="56">
        <v>0</v>
      </c>
      <c r="N138" s="56">
        <v>0</v>
      </c>
      <c r="O138" s="56">
        <v>-1</v>
      </c>
      <c r="P138" s="56" t="s">
        <v>1729</v>
      </c>
      <c r="Q138" s="68">
        <f>IF(E138="OnGainRelic", 0, IF(OR(P138="Quest", P138="Monster", P138="Event", D138="Basic", D138="Upgrade"), -1, MIN(IFERROR(VLOOKUP(D138, Relic_Price_Config!$A$5:$E$9, 4, FALSE), 350), MAX(IFERROR(VLOOKUP(D138, Relic_Price_Config!$A$5:$E$9, 3, FALSE), 210), ROUND((IFERROR(VLOOKUP(F138, Relic_Price_Config!$G$5:$N$100, 4, FALSE), 280) + N(H138) * IFERROR(VLOOKUP(F138, Relic_Price_Config!$G$5:$N$100, 5, FALSE), 10) + ABS(N(M138)) * IFERROR(VLOOKUP(F138, Relic_Price_Config!$G$5:$N$100, 6, FALSE), 15) + IF(N(N138)&gt;1, (N(N138)-1)*10, 0)) * IFERROR(VLOOKUP(D138, Relic_Price_Config!$A$5:$E$9, 2, FALSE), 1), 0)))))</f>
        <v>-1</v>
      </c>
      <c r="R138" s="68">
        <f t="shared" si="8"/>
        <v>220</v>
      </c>
      <c r="S138" s="68">
        <f t="shared" si="9"/>
        <v>410</v>
      </c>
      <c r="T138" s="68">
        <f>IF(E138="OnGainRelic", 0, MIN(IFERROR(VLOOKUP(D138, Relic_Price_Config!$A$5:$E$9, 4, FALSE), 350), MAX(IFERROR(VLOOKUP(D138, Relic_Price_Config!$A$5:$E$9, 3, FALSE), 210), ROUND((IFERROR(VLOOKUP(F138, Relic_Price_Config!$G$5:$N$100, 4, FALSE), 280) + N(H138) * IFERROR(VLOOKUP(F138, Relic_Price_Config!$G$5:$N$100, 5, FALSE), 10) + ABS(N(M138)) * IFERROR(VLOOKUP(F138, Relic_Price_Config!$G$5:$N$100, 6, FALSE), 15) + IF(N(N138)&gt;1, (N(N138)-1)*10, 0)) * IFERROR(VLOOKUP(D138, Relic_Price_Config!$A$5:$E$9, 2, FALSE), 1), 0))))</f>
        <v>315</v>
      </c>
      <c r="U138" s="56" t="str">
        <f>IF(E138="OnGainRelic", "획득 시 즉발 (0원)", IFERROR(VLOOKUP(F138, Relic_Price_Config!$G$5:$N$100, 2, FALSE), "기타 효과"))</f>
        <v>방어 관련 [보호막 획득]</v>
      </c>
    </row>
    <row r="139" spans="1:21" ht="41.4" customHeight="1">
      <c r="A139" s="56" t="s">
        <v>2608</v>
      </c>
      <c r="B139" s="57" t="s">
        <v>2609</v>
      </c>
      <c r="C139" s="57" t="s">
        <v>2610</v>
      </c>
      <c r="D139" s="56" t="s">
        <v>34</v>
      </c>
      <c r="E139" s="56" t="s">
        <v>2279</v>
      </c>
      <c r="F139" s="56" t="s">
        <v>44</v>
      </c>
      <c r="G139" s="56" t="s">
        <v>45</v>
      </c>
      <c r="H139" s="56">
        <v>3</v>
      </c>
      <c r="I139" s="56"/>
      <c r="J139" s="56">
        <v>0</v>
      </c>
      <c r="K139" s="56"/>
      <c r="L139" s="56"/>
      <c r="M139" s="56">
        <v>0</v>
      </c>
      <c r="N139" s="56">
        <v>0</v>
      </c>
      <c r="O139" s="56">
        <v>-1</v>
      </c>
      <c r="P139" s="56" t="s">
        <v>1729</v>
      </c>
      <c r="Q139" s="68">
        <f>IF(E139="OnGainRelic", 0, IF(OR(P139="Quest", P139="Monster", P139="Event", D139="Basic", D139="Upgrade"), -1, MIN(IFERROR(VLOOKUP(D139, Relic_Price_Config!$A$5:$E$9, 4, FALSE), 350), MAX(IFERROR(VLOOKUP(D139, Relic_Price_Config!$A$5:$E$9, 3, FALSE), 210), ROUND((IFERROR(VLOOKUP(F139, Relic_Price_Config!$G$5:$N$100, 4, FALSE), 280) + N(H139) * IFERROR(VLOOKUP(F139, Relic_Price_Config!$G$5:$N$100, 5, FALSE), 10) + ABS(N(M139)) * IFERROR(VLOOKUP(F139, Relic_Price_Config!$G$5:$N$100, 6, FALSE), 15) + IF(N(N139)&gt;1, (N(N139)-1)*10, 0)) * IFERROR(VLOOKUP(D139, Relic_Price_Config!$A$5:$E$9, 2, FALSE), 1), 0)))))</f>
        <v>-1</v>
      </c>
      <c r="R139" s="68">
        <f t="shared" si="8"/>
        <v>220</v>
      </c>
      <c r="S139" s="68">
        <f t="shared" si="9"/>
        <v>410</v>
      </c>
      <c r="T139" s="68">
        <f>IF(E139="OnGainRelic", 0, MIN(IFERROR(VLOOKUP(D139, Relic_Price_Config!$A$5:$E$9, 4, FALSE), 350), MAX(IFERROR(VLOOKUP(D139, Relic_Price_Config!$A$5:$E$9, 3, FALSE), 210), ROUND((IFERROR(VLOOKUP(F139, Relic_Price_Config!$G$5:$N$100, 4, FALSE), 280) + N(H139) * IFERROR(VLOOKUP(F139, Relic_Price_Config!$G$5:$N$100, 5, FALSE), 10) + ABS(N(M139)) * IFERROR(VLOOKUP(F139, Relic_Price_Config!$G$5:$N$100, 6, FALSE), 15) + IF(N(N139)&gt;1, (N(N139)-1)*10, 0)) * IFERROR(VLOOKUP(D139, Relic_Price_Config!$A$5:$E$9, 2, FALSE), 1), 0))))</f>
        <v>315</v>
      </c>
      <c r="U139" s="56" t="str">
        <f>IF(E139="OnGainRelic", "획득 시 즉발 (0원)", IFERROR(VLOOKUP(F139, Relic_Price_Config!$G$5:$N$100, 2, FALSE), "기타 효과"))</f>
        <v>방어 관련 [보호막 획득]</v>
      </c>
    </row>
    <row r="140" spans="1:21" ht="41.4" customHeight="1">
      <c r="A140" s="56" t="s">
        <v>2611</v>
      </c>
      <c r="B140" s="57" t="s">
        <v>2612</v>
      </c>
      <c r="C140" s="57" t="s">
        <v>2613</v>
      </c>
      <c r="D140" s="56" t="s">
        <v>34</v>
      </c>
      <c r="E140" s="56" t="s">
        <v>2202</v>
      </c>
      <c r="F140" s="56" t="s">
        <v>70</v>
      </c>
      <c r="G140" s="56" t="s">
        <v>45</v>
      </c>
      <c r="H140" s="56">
        <v>0</v>
      </c>
      <c r="I140" s="56"/>
      <c r="J140" s="56">
        <v>0</v>
      </c>
      <c r="K140" s="56" t="s">
        <v>71</v>
      </c>
      <c r="L140" s="56"/>
      <c r="M140" s="56">
        <v>3</v>
      </c>
      <c r="N140" s="56">
        <v>-1</v>
      </c>
      <c r="O140" s="56">
        <v>3</v>
      </c>
      <c r="P140" s="56" t="s">
        <v>1247</v>
      </c>
      <c r="Q140" s="68">
        <f>IF(E140="OnGainRelic", 0, IF(OR(P140="Quest", P140="Monster", P140="Event", D140="Basic", D140="Upgrade"), -1, MIN(IFERROR(VLOOKUP(D140, Relic_Price_Config!$A$5:$E$9, 4, FALSE), 350), MAX(IFERROR(VLOOKUP(D140, Relic_Price_Config!$A$5:$E$9, 3, FALSE), 210), ROUND((IFERROR(VLOOKUP(F140, Relic_Price_Config!$G$5:$N$100, 4, FALSE), 280) + N(H140) * IFERROR(VLOOKUP(F140, Relic_Price_Config!$G$5:$N$100, 5, FALSE), 10) + ABS(N(M140)) * IFERROR(VLOOKUP(F140, Relic_Price_Config!$G$5:$N$100, 6, FALSE), 15) + IF(N(N140)&gt;1, (N(N140)-1)*10, 0)) * IFERROR(VLOOKUP(D140, Relic_Price_Config!$A$5:$E$9, 2, FALSE), 1), 0)))))</f>
        <v>-1</v>
      </c>
      <c r="R140" s="68">
        <f t="shared" si="8"/>
        <v>0</v>
      </c>
      <c r="S140" s="68">
        <f t="shared" si="9"/>
        <v>0</v>
      </c>
      <c r="T140" s="68">
        <f>IF(E140="OnGainRelic", 0, MIN(IFERROR(VLOOKUP(D140, Relic_Price_Config!$A$5:$E$9, 4, FALSE), 350), MAX(IFERROR(VLOOKUP(D140, Relic_Price_Config!$A$5:$E$9, 3, FALSE), 210), ROUND((IFERROR(VLOOKUP(F140, Relic_Price_Config!$G$5:$N$100, 4, FALSE), 280) + N(H140) * IFERROR(VLOOKUP(F140, Relic_Price_Config!$G$5:$N$100, 5, FALSE), 10) + ABS(N(M140)) * IFERROR(VLOOKUP(F140, Relic_Price_Config!$G$5:$N$100, 6, FALSE), 15) + IF(N(N140)&gt;1, (N(N140)-1)*10, 0)) * IFERROR(VLOOKUP(D140, Relic_Price_Config!$A$5:$E$9, 2, FALSE), 1), 0))))</f>
        <v>350</v>
      </c>
      <c r="U140" s="56" t="str">
        <f>IF(E140="OnGainRelic", "획득 시 즉발 (0원)", IFERROR(VLOOKUP(F140, Relic_Price_Config!$G$5:$N$100, 2, FALSE), "기타 효과"))</f>
        <v>공격 증가 [아군 공격 상승]</v>
      </c>
    </row>
    <row r="141" spans="1:21" ht="41.4" customHeight="1">
      <c r="A141" s="56" t="s">
        <v>2614</v>
      </c>
      <c r="B141" s="57" t="s">
        <v>2615</v>
      </c>
      <c r="C141" s="57" t="s">
        <v>2616</v>
      </c>
      <c r="D141" s="56" t="s">
        <v>34</v>
      </c>
      <c r="E141" s="56" t="s">
        <v>2202</v>
      </c>
      <c r="F141" s="56" t="s">
        <v>1860</v>
      </c>
      <c r="G141" s="56" t="s">
        <v>45</v>
      </c>
      <c r="H141" s="56">
        <v>0</v>
      </c>
      <c r="I141" s="56"/>
      <c r="J141" s="56">
        <v>0</v>
      </c>
      <c r="K141" s="56" t="s">
        <v>229</v>
      </c>
      <c r="L141" s="56"/>
      <c r="M141" s="56">
        <v>3</v>
      </c>
      <c r="N141" s="56">
        <v>-1</v>
      </c>
      <c r="O141" s="56">
        <v>3</v>
      </c>
      <c r="P141" s="56" t="s">
        <v>1247</v>
      </c>
      <c r="Q141" s="68">
        <f>IF(E141="OnGainRelic", 0, IF(OR(P141="Quest", P141="Monster", P141="Event", D141="Basic", D141="Upgrade"), -1, MIN(IFERROR(VLOOKUP(D141, Relic_Price_Config!$A$5:$E$9, 4, FALSE), 350), MAX(IFERROR(VLOOKUP(D141, Relic_Price_Config!$A$5:$E$9, 3, FALSE), 210), ROUND((IFERROR(VLOOKUP(F141, Relic_Price_Config!$G$5:$N$100, 4, FALSE), 280) + N(H141) * IFERROR(VLOOKUP(F141, Relic_Price_Config!$G$5:$N$100, 5, FALSE), 10) + ABS(N(M141)) * IFERROR(VLOOKUP(F141, Relic_Price_Config!$G$5:$N$100, 6, FALSE), 15) + IF(N(N141)&gt;1, (N(N141)-1)*10, 0)) * IFERROR(VLOOKUP(D141, Relic_Price_Config!$A$5:$E$9, 2, FALSE), 1), 0)))))</f>
        <v>-1</v>
      </c>
      <c r="R141" s="68">
        <f t="shared" si="8"/>
        <v>0</v>
      </c>
      <c r="S141" s="68">
        <f t="shared" si="9"/>
        <v>0</v>
      </c>
      <c r="T141" s="68">
        <f>IF(E141="OnGainRelic", 0, MIN(IFERROR(VLOOKUP(D141, Relic_Price_Config!$A$5:$E$9, 4, FALSE), 350), MAX(IFERROR(VLOOKUP(D141, Relic_Price_Config!$A$5:$E$9, 3, FALSE), 210), ROUND((IFERROR(VLOOKUP(F141, Relic_Price_Config!$G$5:$N$100, 4, FALSE), 280) + N(H141) * IFERROR(VLOOKUP(F141, Relic_Price_Config!$G$5:$N$100, 5, FALSE), 10) + ABS(N(M141)) * IFERROR(VLOOKUP(F141, Relic_Price_Config!$G$5:$N$100, 6, FALSE), 15) + IF(N(N141)&gt;1, (N(N141)-1)*10, 0)) * IFERROR(VLOOKUP(D141, Relic_Price_Config!$A$5:$E$9, 2, FALSE), 1), 0))))</f>
        <v>350</v>
      </c>
      <c r="U141" s="56" t="str">
        <f>IF(E141="OnGainRelic", "획득 시 즉발 (0원)", IFERROR(VLOOKUP(F141, Relic_Price_Config!$G$5:$N$100, 2, FALSE), "기타 효과"))</f>
        <v>방어 증가 [아군 방어 상승]</v>
      </c>
    </row>
    <row r="142" spans="1:21" ht="41.4" customHeight="1">
      <c r="A142" s="56" t="s">
        <v>2617</v>
      </c>
      <c r="B142" s="57" t="s">
        <v>2618</v>
      </c>
      <c r="C142" s="57" t="s">
        <v>2619</v>
      </c>
      <c r="D142" s="56" t="s">
        <v>34</v>
      </c>
      <c r="E142" s="56" t="s">
        <v>2202</v>
      </c>
      <c r="F142" s="56" t="s">
        <v>70</v>
      </c>
      <c r="G142" s="56" t="s">
        <v>45</v>
      </c>
      <c r="H142" s="56">
        <v>0</v>
      </c>
      <c r="I142" s="56"/>
      <c r="J142" s="56">
        <v>0</v>
      </c>
      <c r="K142" s="56" t="s">
        <v>71</v>
      </c>
      <c r="L142" s="56"/>
      <c r="M142" s="56">
        <v>1</v>
      </c>
      <c r="N142" s="56">
        <v>-1</v>
      </c>
      <c r="O142" s="56">
        <v>3</v>
      </c>
      <c r="P142" s="56" t="s">
        <v>1247</v>
      </c>
      <c r="Q142" s="68">
        <f>IF(E142="OnGainRelic", 0, IF(OR(P142="Quest", P142="Monster", P142="Event", D142="Basic", D142="Upgrade"), -1, MIN(IFERROR(VLOOKUP(D142, Relic_Price_Config!$A$5:$E$9, 4, FALSE), 350), MAX(IFERROR(VLOOKUP(D142, Relic_Price_Config!$A$5:$E$9, 3, FALSE), 210), ROUND((IFERROR(VLOOKUP(F142, Relic_Price_Config!$G$5:$N$100, 4, FALSE), 280) + N(H142) * IFERROR(VLOOKUP(F142, Relic_Price_Config!$G$5:$N$100, 5, FALSE), 10) + ABS(N(M142)) * IFERROR(VLOOKUP(F142, Relic_Price_Config!$G$5:$N$100, 6, FALSE), 15) + IF(N(N142)&gt;1, (N(N142)-1)*10, 0)) * IFERROR(VLOOKUP(D142, Relic_Price_Config!$A$5:$E$9, 2, FALSE), 1), 0)))))</f>
        <v>-1</v>
      </c>
      <c r="R142" s="68">
        <f t="shared" si="8"/>
        <v>0</v>
      </c>
      <c r="S142" s="68">
        <f t="shared" si="9"/>
        <v>0</v>
      </c>
      <c r="T142" s="68">
        <f>IF(E142="OnGainRelic", 0, MIN(IFERROR(VLOOKUP(D142, Relic_Price_Config!$A$5:$E$9, 4, FALSE), 350), MAX(IFERROR(VLOOKUP(D142, Relic_Price_Config!$A$5:$E$9, 3, FALSE), 210), ROUND((IFERROR(VLOOKUP(F142, Relic_Price_Config!$G$5:$N$100, 4, FALSE), 280) + N(H142) * IFERROR(VLOOKUP(F142, Relic_Price_Config!$G$5:$N$100, 5, FALSE), 10) + ABS(N(M142)) * IFERROR(VLOOKUP(F142, Relic_Price_Config!$G$5:$N$100, 6, FALSE), 15) + IF(N(N142)&gt;1, (N(N142)-1)*10, 0)) * IFERROR(VLOOKUP(D142, Relic_Price_Config!$A$5:$E$9, 2, FALSE), 1), 0))))</f>
        <v>305</v>
      </c>
      <c r="U142" s="56" t="str">
        <f>IF(E142="OnGainRelic", "획득 시 즉발 (0원)", IFERROR(VLOOKUP(F142, Relic_Price_Config!$G$5:$N$100, 2, FALSE), "기타 효과"))</f>
        <v>공격 증가 [아군 공격 상승]</v>
      </c>
    </row>
    <row r="143" spans="1:21" ht="41.4" customHeight="1">
      <c r="A143" s="56" t="s">
        <v>2620</v>
      </c>
      <c r="B143" s="57" t="s">
        <v>2621</v>
      </c>
      <c r="C143" s="57" t="s">
        <v>2622</v>
      </c>
      <c r="D143" s="56" t="s">
        <v>34</v>
      </c>
      <c r="E143" s="56" t="s">
        <v>2202</v>
      </c>
      <c r="F143" s="56" t="s">
        <v>146</v>
      </c>
      <c r="G143" s="56" t="s">
        <v>45</v>
      </c>
      <c r="H143" s="56">
        <v>1</v>
      </c>
      <c r="I143" s="56"/>
      <c r="J143" s="56">
        <v>0</v>
      </c>
      <c r="K143" s="56" t="s">
        <v>38</v>
      </c>
      <c r="L143" s="56"/>
      <c r="M143" s="56">
        <v>0</v>
      </c>
      <c r="N143" s="56">
        <v>0</v>
      </c>
      <c r="O143" s="56">
        <v>3</v>
      </c>
      <c r="P143" s="56" t="s">
        <v>1247</v>
      </c>
      <c r="Q143" s="68">
        <f>IF(E143="OnGainRelic", 0, IF(OR(P143="Quest", P143="Monster", P143="Event", D143="Basic", D143="Upgrade"), -1, MIN(IFERROR(VLOOKUP(D143, Relic_Price_Config!$A$5:$E$9, 4, FALSE), 350), MAX(IFERROR(VLOOKUP(D143, Relic_Price_Config!$A$5:$E$9, 3, FALSE), 210), ROUND((IFERROR(VLOOKUP(F143, Relic_Price_Config!$G$5:$N$100, 4, FALSE), 280) + N(H143) * IFERROR(VLOOKUP(F143, Relic_Price_Config!$G$5:$N$100, 5, FALSE), 10) + ABS(N(M143)) * IFERROR(VLOOKUP(F143, Relic_Price_Config!$G$5:$N$100, 6, FALSE), 15) + IF(N(N143)&gt;1, (N(N143)-1)*10, 0)) * IFERROR(VLOOKUP(D143, Relic_Price_Config!$A$5:$E$9, 2, FALSE), 1), 0)))))</f>
        <v>-1</v>
      </c>
      <c r="R143" s="68">
        <f t="shared" si="8"/>
        <v>0</v>
      </c>
      <c r="S143" s="68">
        <f t="shared" si="9"/>
        <v>0</v>
      </c>
      <c r="T143" s="68">
        <f>IF(E143="OnGainRelic", 0, MIN(IFERROR(VLOOKUP(D143, Relic_Price_Config!$A$5:$E$9, 4, FALSE), 350), MAX(IFERROR(VLOOKUP(D143, Relic_Price_Config!$A$5:$E$9, 3, FALSE), 210), ROUND((IFERROR(VLOOKUP(F143, Relic_Price_Config!$G$5:$N$100, 4, FALSE), 280) + N(H143) * IFERROR(VLOOKUP(F143, Relic_Price_Config!$G$5:$N$100, 5, FALSE), 10) + ABS(N(M143)) * IFERROR(VLOOKUP(F143, Relic_Price_Config!$G$5:$N$100, 6, FALSE), 15) + IF(N(N143)&gt;1, (N(N143)-1)*10, 0)) * IFERROR(VLOOKUP(D143, Relic_Price_Config!$A$5:$E$9, 2, FALSE), 1), 0))))</f>
        <v>330</v>
      </c>
      <c r="U143" s="56" t="str">
        <f>IF(E143="OnGainRelic", "획득 시 즉발 (0원)", IFERROR(VLOOKUP(F143, Relic_Price_Config!$G$5:$N$100, 2, FALSE), "기타 효과"))</f>
        <v>에너지 관련 (행동력 추가)</v>
      </c>
    </row>
    <row r="144" spans="1:21" ht="41.4" customHeight="1">
      <c r="A144" s="56" t="s">
        <v>2623</v>
      </c>
      <c r="B144" s="57" t="s">
        <v>2624</v>
      </c>
      <c r="C144" s="57" t="s">
        <v>2625</v>
      </c>
      <c r="D144" s="56" t="s">
        <v>34</v>
      </c>
      <c r="E144" s="56" t="s">
        <v>2202</v>
      </c>
      <c r="F144" s="56" t="s">
        <v>100</v>
      </c>
      <c r="G144" s="56" t="s">
        <v>45</v>
      </c>
      <c r="H144" s="56">
        <v>0</v>
      </c>
      <c r="I144" s="56"/>
      <c r="J144" s="56">
        <v>0</v>
      </c>
      <c r="K144" s="56" t="s">
        <v>101</v>
      </c>
      <c r="L144" s="56"/>
      <c r="M144" s="56">
        <v>2</v>
      </c>
      <c r="N144" s="56">
        <v>-1</v>
      </c>
      <c r="O144" s="56">
        <v>3</v>
      </c>
      <c r="P144" s="56" t="s">
        <v>1247</v>
      </c>
      <c r="Q144" s="68">
        <f>IF(E144="OnGainRelic", 0, IF(OR(P144="Quest", P144="Monster", P144="Event", D144="Basic", D144="Upgrade"), -1, MIN(IFERROR(VLOOKUP(D144, Relic_Price_Config!$A$5:$E$9, 4, FALSE), 350), MAX(IFERROR(VLOOKUP(D144, Relic_Price_Config!$A$5:$E$9, 3, FALSE), 210), ROUND((IFERROR(VLOOKUP(F144, Relic_Price_Config!$G$5:$N$100, 4, FALSE), 280) + N(H144) * IFERROR(VLOOKUP(F144, Relic_Price_Config!$G$5:$N$100, 5, FALSE), 10) + ABS(N(M144)) * IFERROR(VLOOKUP(F144, Relic_Price_Config!$G$5:$N$100, 6, FALSE), 15) + IF(N(N144)&gt;1, (N(N144)-1)*10, 0)) * IFERROR(VLOOKUP(D144, Relic_Price_Config!$A$5:$E$9, 2, FALSE), 1), 0)))))</f>
        <v>-1</v>
      </c>
      <c r="R144" s="68">
        <f t="shared" si="8"/>
        <v>0</v>
      </c>
      <c r="S144" s="68">
        <f t="shared" si="9"/>
        <v>0</v>
      </c>
      <c r="T144" s="68">
        <f>IF(E144="OnGainRelic", 0, MIN(IFERROR(VLOOKUP(D144, Relic_Price_Config!$A$5:$E$9, 4, FALSE), 350), MAX(IFERROR(VLOOKUP(D144, Relic_Price_Config!$A$5:$E$9, 3, FALSE), 210), ROUND((IFERROR(VLOOKUP(F144, Relic_Price_Config!$G$5:$N$100, 4, FALSE), 280) + N(H144) * IFERROR(VLOOKUP(F144, Relic_Price_Config!$G$5:$N$100, 5, FALSE), 10) + ABS(N(M144)) * IFERROR(VLOOKUP(F144, Relic_Price_Config!$G$5:$N$100, 6, FALSE), 15) + IF(N(N144)&gt;1, (N(N144)-1)*10, 0)) * IFERROR(VLOOKUP(D144, Relic_Price_Config!$A$5:$E$9, 2, FALSE), 1), 0))))</f>
        <v>330</v>
      </c>
      <c r="U144" s="56" t="str">
        <f>IF(E144="OnGainRelic", "획득 시 즉발 (0원)", IFERROR(VLOOKUP(F144, Relic_Price_Config!$G$5:$N$100, 2, FALSE), "기타 효과"))</f>
        <v>방어 관련 [회피율 증가]</v>
      </c>
    </row>
    <row r="145" spans="1:21" ht="41.4" customHeight="1">
      <c r="A145" s="56" t="s">
        <v>2626</v>
      </c>
      <c r="B145" s="57" t="s">
        <v>2627</v>
      </c>
      <c r="C145" s="57" t="s">
        <v>2628</v>
      </c>
      <c r="D145" s="56" t="s">
        <v>34</v>
      </c>
      <c r="E145" s="56" t="s">
        <v>2202</v>
      </c>
      <c r="F145" s="56" t="s">
        <v>1860</v>
      </c>
      <c r="G145" s="56" t="s">
        <v>45</v>
      </c>
      <c r="H145" s="56">
        <v>0</v>
      </c>
      <c r="I145" s="56"/>
      <c r="J145" s="56">
        <v>0</v>
      </c>
      <c r="K145" s="56" t="s">
        <v>38</v>
      </c>
      <c r="L145" s="56"/>
      <c r="M145" s="56">
        <v>0</v>
      </c>
      <c r="N145" s="56">
        <v>-1</v>
      </c>
      <c r="O145" s="56">
        <v>3</v>
      </c>
      <c r="P145" s="56" t="s">
        <v>1247</v>
      </c>
      <c r="Q145" s="68">
        <f>IF(E145="OnGainRelic", 0, IF(OR(P145="Quest", P145="Monster", P145="Event", D145="Basic", D145="Upgrade"), -1, MIN(IFERROR(VLOOKUP(D145, Relic_Price_Config!$A$5:$E$9, 4, FALSE), 350), MAX(IFERROR(VLOOKUP(D145, Relic_Price_Config!$A$5:$E$9, 3, FALSE), 210), ROUND((IFERROR(VLOOKUP(F145, Relic_Price_Config!$G$5:$N$100, 4, FALSE), 280) + N(H145) * IFERROR(VLOOKUP(F145, Relic_Price_Config!$G$5:$N$100, 5, FALSE), 10) + ABS(N(M145)) * IFERROR(VLOOKUP(F145, Relic_Price_Config!$G$5:$N$100, 6, FALSE), 15) + IF(N(N145)&gt;1, (N(N145)-1)*10, 0)) * IFERROR(VLOOKUP(D145, Relic_Price_Config!$A$5:$E$9, 2, FALSE), 1), 0)))))</f>
        <v>-1</v>
      </c>
      <c r="R145" s="68">
        <f t="shared" si="8"/>
        <v>0</v>
      </c>
      <c r="S145" s="68">
        <f t="shared" si="9"/>
        <v>0</v>
      </c>
      <c r="T145" s="68">
        <f>IF(E145="OnGainRelic", 0, MIN(IFERROR(VLOOKUP(D145, Relic_Price_Config!$A$5:$E$9, 4, FALSE), 350), MAX(IFERROR(VLOOKUP(D145, Relic_Price_Config!$A$5:$E$9, 3, FALSE), 210), ROUND((IFERROR(VLOOKUP(F145, Relic_Price_Config!$G$5:$N$100, 4, FALSE), 280) + N(H145) * IFERROR(VLOOKUP(F145, Relic_Price_Config!$G$5:$N$100, 5, FALSE), 10) + ABS(N(M145)) * IFERROR(VLOOKUP(F145, Relic_Price_Config!$G$5:$N$100, 6, FALSE), 15) + IF(N(N145)&gt;1, (N(N145)-1)*10, 0)) * IFERROR(VLOOKUP(D145, Relic_Price_Config!$A$5:$E$9, 2, FALSE), 1), 0))))</f>
        <v>280</v>
      </c>
      <c r="U145" s="56" t="str">
        <f>IF(E145="OnGainRelic", "획득 시 즉발 (0원)", IFERROR(VLOOKUP(F145, Relic_Price_Config!$G$5:$N$100, 2, FALSE), "기타 효과"))</f>
        <v>방어 증가 [아군 방어 상승]</v>
      </c>
    </row>
    <row r="146" spans="1:21" ht="41.4" customHeight="1">
      <c r="A146" s="56" t="s">
        <v>2629</v>
      </c>
      <c r="B146" s="57" t="s">
        <v>2630</v>
      </c>
      <c r="C146" s="57" t="s">
        <v>2631</v>
      </c>
      <c r="D146" s="56" t="s">
        <v>34</v>
      </c>
      <c r="E146" s="56" t="s">
        <v>2202</v>
      </c>
      <c r="F146" s="56" t="s">
        <v>70</v>
      </c>
      <c r="G146" s="56" t="s">
        <v>45</v>
      </c>
      <c r="H146" s="56">
        <v>0</v>
      </c>
      <c r="I146" s="56"/>
      <c r="J146" s="56">
        <v>0</v>
      </c>
      <c r="K146" s="56" t="s">
        <v>71</v>
      </c>
      <c r="L146" s="56"/>
      <c r="M146" s="56">
        <v>1</v>
      </c>
      <c r="N146" s="56">
        <v>-1</v>
      </c>
      <c r="O146" s="56">
        <v>-1</v>
      </c>
      <c r="P146" s="56" t="s">
        <v>1247</v>
      </c>
      <c r="Q146" s="68">
        <f>IF(E146="OnGainRelic", 0, IF(OR(P146="Quest", P146="Monster", P146="Event", D146="Basic", D146="Upgrade"), -1, MIN(IFERROR(VLOOKUP(D146, Relic_Price_Config!$A$5:$E$9, 4, FALSE), 350), MAX(IFERROR(VLOOKUP(D146, Relic_Price_Config!$A$5:$E$9, 3, FALSE), 210), ROUND((IFERROR(VLOOKUP(F146, Relic_Price_Config!$G$5:$N$100, 4, FALSE), 280) + N(H146) * IFERROR(VLOOKUP(F146, Relic_Price_Config!$G$5:$N$100, 5, FALSE), 10) + ABS(N(M146)) * IFERROR(VLOOKUP(F146, Relic_Price_Config!$G$5:$N$100, 6, FALSE), 15) + IF(N(N146)&gt;1, (N(N146)-1)*10, 0)) * IFERROR(VLOOKUP(D146, Relic_Price_Config!$A$5:$E$9, 2, FALSE), 1), 0)))))</f>
        <v>-1</v>
      </c>
      <c r="R146" s="68">
        <f t="shared" si="8"/>
        <v>215</v>
      </c>
      <c r="S146" s="68">
        <f t="shared" si="9"/>
        <v>395</v>
      </c>
      <c r="T146" s="68">
        <f>IF(E146="OnGainRelic", 0, MIN(IFERROR(VLOOKUP(D146, Relic_Price_Config!$A$5:$E$9, 4, FALSE), 350), MAX(IFERROR(VLOOKUP(D146, Relic_Price_Config!$A$5:$E$9, 3, FALSE), 210), ROUND((IFERROR(VLOOKUP(F146, Relic_Price_Config!$G$5:$N$100, 4, FALSE), 280) + N(H146) * IFERROR(VLOOKUP(F146, Relic_Price_Config!$G$5:$N$100, 5, FALSE), 10) + ABS(N(M146)) * IFERROR(VLOOKUP(F146, Relic_Price_Config!$G$5:$N$100, 6, FALSE), 15) + IF(N(N146)&gt;1, (N(N146)-1)*10, 0)) * IFERROR(VLOOKUP(D146, Relic_Price_Config!$A$5:$E$9, 2, FALSE), 1), 0))))</f>
        <v>305</v>
      </c>
      <c r="U146" s="56" t="str">
        <f>IF(E146="OnGainRelic", "획득 시 즉발 (0원)", IFERROR(VLOOKUP(F146, Relic_Price_Config!$G$5:$N$100, 2, FALSE), "기타 효과"))</f>
        <v>공격 증가 [아군 공격 상승]</v>
      </c>
    </row>
    <row r="147" spans="1:21" ht="41.4" customHeight="1">
      <c r="A147" s="56" t="s">
        <v>2632</v>
      </c>
      <c r="B147" s="57" t="s">
        <v>2633</v>
      </c>
      <c r="C147" s="57" t="s">
        <v>2634</v>
      </c>
      <c r="D147" s="56" t="s">
        <v>34</v>
      </c>
      <c r="E147" s="56" t="s">
        <v>2202</v>
      </c>
      <c r="F147" s="56" t="s">
        <v>1860</v>
      </c>
      <c r="G147" s="56" t="s">
        <v>45</v>
      </c>
      <c r="H147" s="56">
        <v>0</v>
      </c>
      <c r="I147" s="56"/>
      <c r="J147" s="56">
        <v>0</v>
      </c>
      <c r="K147" s="56" t="s">
        <v>229</v>
      </c>
      <c r="L147" s="56"/>
      <c r="M147" s="56">
        <v>1</v>
      </c>
      <c r="N147" s="56">
        <v>-1</v>
      </c>
      <c r="O147" s="56">
        <v>-1</v>
      </c>
      <c r="P147" s="56" t="s">
        <v>1247</v>
      </c>
      <c r="Q147" s="68">
        <f>IF(E147="OnGainRelic", 0, IF(OR(P147="Quest", P147="Monster", P147="Event", D147="Basic", D147="Upgrade"), -1, MIN(IFERROR(VLOOKUP(D147, Relic_Price_Config!$A$5:$E$9, 4, FALSE), 350), MAX(IFERROR(VLOOKUP(D147, Relic_Price_Config!$A$5:$E$9, 3, FALSE), 210), ROUND((IFERROR(VLOOKUP(F147, Relic_Price_Config!$G$5:$N$100, 4, FALSE), 280) + N(H147) * IFERROR(VLOOKUP(F147, Relic_Price_Config!$G$5:$N$100, 5, FALSE), 10) + ABS(N(M147)) * IFERROR(VLOOKUP(F147, Relic_Price_Config!$G$5:$N$100, 6, FALSE), 15) + IF(N(N147)&gt;1, (N(N147)-1)*10, 0)) * IFERROR(VLOOKUP(D147, Relic_Price_Config!$A$5:$E$9, 2, FALSE), 1), 0)))))</f>
        <v>-1</v>
      </c>
      <c r="R147" s="68">
        <f t="shared" si="8"/>
        <v>215</v>
      </c>
      <c r="S147" s="68">
        <f t="shared" si="9"/>
        <v>395</v>
      </c>
      <c r="T147" s="68">
        <f>IF(E147="OnGainRelic", 0, MIN(IFERROR(VLOOKUP(D147, Relic_Price_Config!$A$5:$E$9, 4, FALSE), 350), MAX(IFERROR(VLOOKUP(D147, Relic_Price_Config!$A$5:$E$9, 3, FALSE), 210), ROUND((IFERROR(VLOOKUP(F147, Relic_Price_Config!$G$5:$N$100, 4, FALSE), 280) + N(H147) * IFERROR(VLOOKUP(F147, Relic_Price_Config!$G$5:$N$100, 5, FALSE), 10) + ABS(N(M147)) * IFERROR(VLOOKUP(F147, Relic_Price_Config!$G$5:$N$100, 6, FALSE), 15) + IF(N(N147)&gt;1, (N(N147)-1)*10, 0)) * IFERROR(VLOOKUP(D147, Relic_Price_Config!$A$5:$E$9, 2, FALSE), 1), 0))))</f>
        <v>305</v>
      </c>
      <c r="U147" s="56" t="str">
        <f>IF(E147="OnGainRelic", "획득 시 즉발 (0원)", IFERROR(VLOOKUP(F147, Relic_Price_Config!$G$5:$N$100, 2, FALSE), "기타 효과"))</f>
        <v>방어 증가 [아군 방어 상승]</v>
      </c>
    </row>
    <row r="148" spans="1:21" ht="41.4" customHeight="1">
      <c r="A148" s="56" t="s">
        <v>2635</v>
      </c>
      <c r="B148" s="57" t="s">
        <v>2636</v>
      </c>
      <c r="C148" s="57" t="s">
        <v>2637</v>
      </c>
      <c r="D148" s="56" t="s">
        <v>34</v>
      </c>
      <c r="E148" s="56" t="s">
        <v>2202</v>
      </c>
      <c r="F148" s="56" t="s">
        <v>100</v>
      </c>
      <c r="G148" s="56" t="s">
        <v>45</v>
      </c>
      <c r="H148" s="56">
        <v>0</v>
      </c>
      <c r="I148" s="56"/>
      <c r="J148" s="56">
        <v>0</v>
      </c>
      <c r="K148" s="56" t="s">
        <v>101</v>
      </c>
      <c r="L148" s="56"/>
      <c r="M148" s="56">
        <v>1</v>
      </c>
      <c r="N148" s="56">
        <v>-1</v>
      </c>
      <c r="O148" s="56">
        <v>-1</v>
      </c>
      <c r="P148" s="56" t="s">
        <v>1247</v>
      </c>
      <c r="Q148" s="68">
        <f>IF(E148="OnGainRelic", 0, IF(OR(P148="Quest", P148="Monster", P148="Event", D148="Basic", D148="Upgrade"), -1, MIN(IFERROR(VLOOKUP(D148, Relic_Price_Config!$A$5:$E$9, 4, FALSE), 350), MAX(IFERROR(VLOOKUP(D148, Relic_Price_Config!$A$5:$E$9, 3, FALSE), 210), ROUND((IFERROR(VLOOKUP(F148, Relic_Price_Config!$G$5:$N$100, 4, FALSE), 280) + N(H148) * IFERROR(VLOOKUP(F148, Relic_Price_Config!$G$5:$N$100, 5, FALSE), 10) + ABS(N(M148)) * IFERROR(VLOOKUP(F148, Relic_Price_Config!$G$5:$N$100, 6, FALSE), 15) + IF(N(N148)&gt;1, (N(N148)-1)*10, 0)) * IFERROR(VLOOKUP(D148, Relic_Price_Config!$A$5:$E$9, 2, FALSE), 1), 0)))))</f>
        <v>-1</v>
      </c>
      <c r="R148" s="68">
        <f t="shared" si="8"/>
        <v>215</v>
      </c>
      <c r="S148" s="68">
        <f t="shared" si="9"/>
        <v>405</v>
      </c>
      <c r="T148" s="68">
        <f>IF(E148="OnGainRelic", 0, MIN(IFERROR(VLOOKUP(D148, Relic_Price_Config!$A$5:$E$9, 4, FALSE), 350), MAX(IFERROR(VLOOKUP(D148, Relic_Price_Config!$A$5:$E$9, 3, FALSE), 210), ROUND((IFERROR(VLOOKUP(F148, Relic_Price_Config!$G$5:$N$100, 4, FALSE), 280) + N(H148) * IFERROR(VLOOKUP(F148, Relic_Price_Config!$G$5:$N$100, 5, FALSE), 10) + ABS(N(M148)) * IFERROR(VLOOKUP(F148, Relic_Price_Config!$G$5:$N$100, 6, FALSE), 15) + IF(N(N148)&gt;1, (N(N148)-1)*10, 0)) * IFERROR(VLOOKUP(D148, Relic_Price_Config!$A$5:$E$9, 2, FALSE), 1), 0))))</f>
        <v>310</v>
      </c>
      <c r="U148" s="56" t="str">
        <f>IF(E148="OnGainRelic", "획득 시 즉발 (0원)", IFERROR(VLOOKUP(F148, Relic_Price_Config!$G$5:$N$100, 2, FALSE), "기타 효과"))</f>
        <v>방어 관련 [회피율 증가]</v>
      </c>
    </row>
    <row r="149" spans="1:21" ht="41.4" customHeight="1">
      <c r="A149" s="56" t="s">
        <v>2638</v>
      </c>
      <c r="B149" s="57" t="s">
        <v>2639</v>
      </c>
      <c r="C149" s="57" t="s">
        <v>2640</v>
      </c>
      <c r="D149" s="56" t="s">
        <v>34</v>
      </c>
      <c r="E149" s="56" t="s">
        <v>2233</v>
      </c>
      <c r="F149" s="56" t="s">
        <v>1862</v>
      </c>
      <c r="G149" s="56" t="s">
        <v>45</v>
      </c>
      <c r="H149" s="56">
        <v>12</v>
      </c>
      <c r="I149" s="56"/>
      <c r="J149" s="56">
        <v>0</v>
      </c>
      <c r="K149" s="56" t="s">
        <v>38</v>
      </c>
      <c r="L149" s="56"/>
      <c r="M149" s="56">
        <v>0</v>
      </c>
      <c r="N149" s="56">
        <v>0</v>
      </c>
      <c r="O149" s="56">
        <v>-1</v>
      </c>
      <c r="P149" s="56" t="s">
        <v>1247</v>
      </c>
      <c r="Q149" s="68">
        <f>IF(E149="OnGainRelic", 0, IF(OR(P149="Quest", P149="Monster", P149="Event", D149="Basic", D149="Upgrade"), -1, MIN(IFERROR(VLOOKUP(D149, Relic_Price_Config!$A$5:$E$9, 4, FALSE), 350), MAX(IFERROR(VLOOKUP(D149, Relic_Price_Config!$A$5:$E$9, 3, FALSE), 210), ROUND((IFERROR(VLOOKUP(F149, Relic_Price_Config!$G$5:$N$100, 4, FALSE), 280) + N(H149) * IFERROR(VLOOKUP(F149, Relic_Price_Config!$G$5:$N$100, 5, FALSE), 10) + ABS(N(M149)) * IFERROR(VLOOKUP(F149, Relic_Price_Config!$G$5:$N$100, 6, FALSE), 15) + IF(N(N149)&gt;1, (N(N149)-1)*10, 0)) * IFERROR(VLOOKUP(D149, Relic_Price_Config!$A$5:$E$9, 2, FALSE), 1), 0)))))</f>
        <v>0</v>
      </c>
      <c r="R149" s="68">
        <f t="shared" si="8"/>
        <v>0</v>
      </c>
      <c r="S149" s="68">
        <f t="shared" si="9"/>
        <v>0</v>
      </c>
      <c r="T149" s="68">
        <f>IF(E149="OnGainRelic", 0, MIN(IFERROR(VLOOKUP(D149, Relic_Price_Config!$A$5:$E$9, 4, FALSE), 350), MAX(IFERROR(VLOOKUP(D149, Relic_Price_Config!$A$5:$E$9, 3, FALSE), 210), ROUND((IFERROR(VLOOKUP(F149, Relic_Price_Config!$G$5:$N$100, 4, FALSE), 280) + N(H149) * IFERROR(VLOOKUP(F149, Relic_Price_Config!$G$5:$N$100, 5, FALSE), 10) + ABS(N(M149)) * IFERROR(VLOOKUP(F149, Relic_Price_Config!$G$5:$N$100, 6, FALSE), 15) + IF(N(N149)&gt;1, (N(N149)-1)*10, 0)) * IFERROR(VLOOKUP(D149, Relic_Price_Config!$A$5:$E$9, 2, FALSE), 1), 0))))</f>
        <v>0</v>
      </c>
      <c r="U149" s="56" t="str">
        <f>IF(E149="OnGainRelic", "획득 시 즉발 (0원)", IFERROR(VLOOKUP(F149, Relic_Price_Config!$G$5:$N$100, 2, FALSE), "기타 효과"))</f>
        <v>획득 시 즉발 (0원)</v>
      </c>
    </row>
    <row r="150" spans="1:21" ht="55.2" customHeight="1">
      <c r="A150" s="56" t="s">
        <v>2641</v>
      </c>
      <c r="B150" s="57" t="s">
        <v>2642</v>
      </c>
      <c r="C150" s="57" t="s">
        <v>2643</v>
      </c>
      <c r="D150" s="56" t="s">
        <v>34</v>
      </c>
      <c r="E150" s="56" t="s">
        <v>2202</v>
      </c>
      <c r="F150" s="56" t="s">
        <v>520</v>
      </c>
      <c r="G150" s="56" t="s">
        <v>45</v>
      </c>
      <c r="H150" s="56">
        <v>0</v>
      </c>
      <c r="I150" s="56"/>
      <c r="J150" s="56">
        <v>0</v>
      </c>
      <c r="K150" s="56" t="s">
        <v>71</v>
      </c>
      <c r="L150" s="56"/>
      <c r="M150" s="56">
        <v>1</v>
      </c>
      <c r="N150" s="56">
        <v>-1</v>
      </c>
      <c r="O150" s="56">
        <v>-1</v>
      </c>
      <c r="P150" s="56" t="s">
        <v>1247</v>
      </c>
      <c r="Q150" s="68">
        <f>IF(E150="OnGainRelic", 0, IF(OR(P150="Quest", P150="Monster", P150="Event", D150="Basic", D150="Upgrade"), -1, MIN(IFERROR(VLOOKUP(D150, Relic_Price_Config!$A$5:$E$9, 4, FALSE), 350), MAX(IFERROR(VLOOKUP(D150, Relic_Price_Config!$A$5:$E$9, 3, FALSE), 210), ROUND((IFERROR(VLOOKUP(F150, Relic_Price_Config!$G$5:$N$100, 4, FALSE), 280) + N(H150) * IFERROR(VLOOKUP(F150, Relic_Price_Config!$G$5:$N$100, 5, FALSE), 10) + ABS(N(M150)) * IFERROR(VLOOKUP(F150, Relic_Price_Config!$G$5:$N$100, 6, FALSE), 15) + IF(N(N150)&gt;1, (N(N150)-1)*10, 0)) * IFERROR(VLOOKUP(D150, Relic_Price_Config!$A$5:$E$9, 2, FALSE), 1), 0)))))</f>
        <v>-1</v>
      </c>
      <c r="R150" s="68">
        <f t="shared" si="8"/>
        <v>225</v>
      </c>
      <c r="S150" s="68">
        <f t="shared" si="9"/>
        <v>415</v>
      </c>
      <c r="T150" s="68">
        <f>IF(E150="OnGainRelic", 0, MIN(IFERROR(VLOOKUP(D150, Relic_Price_Config!$A$5:$E$9, 4, FALSE), 350), MAX(IFERROR(VLOOKUP(D150, Relic_Price_Config!$A$5:$E$9, 3, FALSE), 210), ROUND((IFERROR(VLOOKUP(F150, Relic_Price_Config!$G$5:$N$100, 4, FALSE), 280) + N(H150) * IFERROR(VLOOKUP(F150, Relic_Price_Config!$G$5:$N$100, 5, FALSE), 10) + ABS(N(M150)) * IFERROR(VLOOKUP(F150, Relic_Price_Config!$G$5:$N$100, 6, FALSE), 15) + IF(N(N150)&gt;1, (N(N150)-1)*10, 0)) * IFERROR(VLOOKUP(D150, Relic_Price_Config!$A$5:$E$9, 2, FALSE), 1), 0))))</f>
        <v>320</v>
      </c>
      <c r="U150" s="56" t="str">
        <f>IF(E150="OnGainRelic", "획득 시 즉발 (0원)", IFERROR(VLOOKUP(F150, Relic_Price_Config!$G$5:$N$100, 2, FALSE), "기타 효과"))</f>
        <v>광역 버프 [전체 용기+전체 견고]</v>
      </c>
    </row>
    <row r="151" spans="1:21" ht="55.2" customHeight="1">
      <c r="A151" s="56" t="s">
        <v>2644</v>
      </c>
      <c r="B151" s="57" t="s">
        <v>2645</v>
      </c>
      <c r="C151" s="57" t="s">
        <v>2646</v>
      </c>
      <c r="D151" s="56" t="s">
        <v>34</v>
      </c>
      <c r="E151" s="56" t="s">
        <v>2202</v>
      </c>
      <c r="F151" s="56" t="s">
        <v>2034</v>
      </c>
      <c r="G151" s="56" t="s">
        <v>45</v>
      </c>
      <c r="H151" s="56">
        <v>3</v>
      </c>
      <c r="I151" s="56"/>
      <c r="J151" s="56">
        <v>0</v>
      </c>
      <c r="K151" s="56" t="s">
        <v>71</v>
      </c>
      <c r="L151" s="56"/>
      <c r="M151" s="56">
        <v>3</v>
      </c>
      <c r="N151" s="56">
        <v>-1</v>
      </c>
      <c r="O151" s="56">
        <v>3</v>
      </c>
      <c r="P151" s="56" t="s">
        <v>1247</v>
      </c>
      <c r="Q151" s="68">
        <f>IF(E151="OnGainRelic", 0, IF(OR(P151="Quest", P151="Monster", P151="Event", D151="Basic", D151="Upgrade"), -1, MIN(IFERROR(VLOOKUP(D151, Relic_Price_Config!$A$5:$E$9, 4, FALSE), 350), MAX(IFERROR(VLOOKUP(D151, Relic_Price_Config!$A$5:$E$9, 3, FALSE), 210), ROUND((IFERROR(VLOOKUP(F151, Relic_Price_Config!$G$5:$N$100, 4, FALSE), 280) + N(H151) * IFERROR(VLOOKUP(F151, Relic_Price_Config!$G$5:$N$100, 5, FALSE), 10) + ABS(N(M151)) * IFERROR(VLOOKUP(F151, Relic_Price_Config!$G$5:$N$100, 6, FALSE), 15) + IF(N(N151)&gt;1, (N(N151)-1)*10, 0)) * IFERROR(VLOOKUP(D151, Relic_Price_Config!$A$5:$E$9, 2, FALSE), 1), 0)))))</f>
        <v>-1</v>
      </c>
      <c r="R151" s="68">
        <f t="shared" si="8"/>
        <v>0</v>
      </c>
      <c r="S151" s="68">
        <f t="shared" si="9"/>
        <v>0</v>
      </c>
      <c r="T151" s="68">
        <f>IF(E151="OnGainRelic", 0, MIN(IFERROR(VLOOKUP(D151, Relic_Price_Config!$A$5:$E$9, 4, FALSE), 350), MAX(IFERROR(VLOOKUP(D151, Relic_Price_Config!$A$5:$E$9, 3, FALSE), 210), ROUND((IFERROR(VLOOKUP(F151, Relic_Price_Config!$G$5:$N$100, 4, FALSE), 280) + N(H151) * IFERROR(VLOOKUP(F151, Relic_Price_Config!$G$5:$N$100, 5, FALSE), 10) + ABS(N(M151)) * IFERROR(VLOOKUP(F151, Relic_Price_Config!$G$5:$N$100, 6, FALSE), 15) + IF(N(N151)&gt;1, (N(N151)-1)*10, 0)) * IFERROR(VLOOKUP(D151, Relic_Price_Config!$A$5:$E$9, 2, FALSE), 1), 0))))</f>
        <v>350</v>
      </c>
      <c r="U151" s="56" t="str">
        <f>IF(E151="OnGainRelic", "획득 시 즉발 (0원)", IFERROR(VLOOKUP(F151, Relic_Price_Config!$G$5:$N$100, 2, FALSE), "기타 효과"))</f>
        <v>복합 효과 [체력 회복 + 공격 상승]</v>
      </c>
    </row>
    <row r="152" spans="1:21" ht="41.4" customHeight="1">
      <c r="A152" s="56" t="s">
        <v>2647</v>
      </c>
      <c r="B152" s="57" t="s">
        <v>2648</v>
      </c>
      <c r="C152" s="57" t="s">
        <v>2649</v>
      </c>
      <c r="D152" s="56" t="s">
        <v>34</v>
      </c>
      <c r="E152" s="56" t="s">
        <v>2202</v>
      </c>
      <c r="F152" s="56" t="s">
        <v>228</v>
      </c>
      <c r="G152" s="56" t="s">
        <v>45</v>
      </c>
      <c r="H152" s="56">
        <v>4</v>
      </c>
      <c r="I152" s="56"/>
      <c r="J152" s="56">
        <v>0</v>
      </c>
      <c r="K152" s="56" t="s">
        <v>229</v>
      </c>
      <c r="L152" s="56"/>
      <c r="M152" s="56">
        <v>3</v>
      </c>
      <c r="N152" s="56">
        <v>-1</v>
      </c>
      <c r="O152" s="56">
        <v>3</v>
      </c>
      <c r="P152" s="56" t="s">
        <v>1247</v>
      </c>
      <c r="Q152" s="68">
        <f>IF(E152="OnGainRelic", 0, IF(OR(P152="Quest", P152="Monster", P152="Event", D152="Basic", D152="Upgrade"), -1, MIN(IFERROR(VLOOKUP(D152, Relic_Price_Config!$A$5:$E$9, 4, FALSE), 350), MAX(IFERROR(VLOOKUP(D152, Relic_Price_Config!$A$5:$E$9, 3, FALSE), 210), ROUND((IFERROR(VLOOKUP(F152, Relic_Price_Config!$G$5:$N$100, 4, FALSE), 280) + N(H152) * IFERROR(VLOOKUP(F152, Relic_Price_Config!$G$5:$N$100, 5, FALSE), 10) + ABS(N(M152)) * IFERROR(VLOOKUP(F152, Relic_Price_Config!$G$5:$N$100, 6, FALSE), 15) + IF(N(N152)&gt;1, (N(N152)-1)*10, 0)) * IFERROR(VLOOKUP(D152, Relic_Price_Config!$A$5:$E$9, 2, FALSE), 1), 0)))))</f>
        <v>-1</v>
      </c>
      <c r="R152" s="68">
        <f t="shared" si="8"/>
        <v>0</v>
      </c>
      <c r="S152" s="68">
        <f t="shared" si="9"/>
        <v>0</v>
      </c>
      <c r="T152" s="68">
        <f>IF(E152="OnGainRelic", 0, MIN(IFERROR(VLOOKUP(D152, Relic_Price_Config!$A$5:$E$9, 4, FALSE), 350), MAX(IFERROR(VLOOKUP(D152, Relic_Price_Config!$A$5:$E$9, 3, FALSE), 210), ROUND((IFERROR(VLOOKUP(F152, Relic_Price_Config!$G$5:$N$100, 4, FALSE), 280) + N(H152) * IFERROR(VLOOKUP(F152, Relic_Price_Config!$G$5:$N$100, 5, FALSE), 10) + ABS(N(M152)) * IFERROR(VLOOKUP(F152, Relic_Price_Config!$G$5:$N$100, 6, FALSE), 15) + IF(N(N152)&gt;1, (N(N152)-1)*10, 0)) * IFERROR(VLOOKUP(D152, Relic_Price_Config!$A$5:$E$9, 2, FALSE), 1), 0))))</f>
        <v>335</v>
      </c>
      <c r="U152" s="56" t="str">
        <f>IF(E152="OnGainRelic", "획득 시 즉발 (0원)", IFERROR(VLOOKUP(F152, Relic_Price_Config!$G$5:$N$100, 2, FALSE), "기타 효과"))</f>
        <v>방어 관련 [보호막+견고]</v>
      </c>
    </row>
    <row r="153" spans="1:21" ht="41.4" customHeight="1">
      <c r="A153" s="56" t="s">
        <v>2650</v>
      </c>
      <c r="B153" s="57" t="s">
        <v>2651</v>
      </c>
      <c r="C153" s="57" t="s">
        <v>2652</v>
      </c>
      <c r="D153" s="56" t="s">
        <v>34</v>
      </c>
      <c r="E153" s="56" t="s">
        <v>2202</v>
      </c>
      <c r="F153" s="56" t="s">
        <v>70</v>
      </c>
      <c r="G153" s="56" t="s">
        <v>45</v>
      </c>
      <c r="H153" s="56">
        <v>0</v>
      </c>
      <c r="I153" s="56"/>
      <c r="J153" s="56">
        <v>0</v>
      </c>
      <c r="K153" s="56" t="s">
        <v>71</v>
      </c>
      <c r="L153" s="56"/>
      <c r="M153" s="56">
        <v>3</v>
      </c>
      <c r="N153" s="56">
        <v>-1</v>
      </c>
      <c r="O153" s="56">
        <v>3</v>
      </c>
      <c r="P153" s="56" t="s">
        <v>1247</v>
      </c>
      <c r="Q153" s="68">
        <f>IF(E153="OnGainRelic", 0, IF(OR(P153="Quest", P153="Monster", P153="Event", D153="Basic", D153="Upgrade"), -1, MIN(IFERROR(VLOOKUP(D153, Relic_Price_Config!$A$5:$E$9, 4, FALSE), 350), MAX(IFERROR(VLOOKUP(D153, Relic_Price_Config!$A$5:$E$9, 3, FALSE), 210), ROUND((IFERROR(VLOOKUP(F153, Relic_Price_Config!$G$5:$N$100, 4, FALSE), 280) + N(H153) * IFERROR(VLOOKUP(F153, Relic_Price_Config!$G$5:$N$100, 5, FALSE), 10) + ABS(N(M153)) * IFERROR(VLOOKUP(F153, Relic_Price_Config!$G$5:$N$100, 6, FALSE), 15) + IF(N(N153)&gt;1, (N(N153)-1)*10, 0)) * IFERROR(VLOOKUP(D153, Relic_Price_Config!$A$5:$E$9, 2, FALSE), 1), 0)))))</f>
        <v>-1</v>
      </c>
      <c r="R153" s="68">
        <f t="shared" si="8"/>
        <v>0</v>
      </c>
      <c r="S153" s="68">
        <f t="shared" si="9"/>
        <v>0</v>
      </c>
      <c r="T153" s="68">
        <f>IF(E153="OnGainRelic", 0, MIN(IFERROR(VLOOKUP(D153, Relic_Price_Config!$A$5:$E$9, 4, FALSE), 350), MAX(IFERROR(VLOOKUP(D153, Relic_Price_Config!$A$5:$E$9, 3, FALSE), 210), ROUND((IFERROR(VLOOKUP(F153, Relic_Price_Config!$G$5:$N$100, 4, FALSE), 280) + N(H153) * IFERROR(VLOOKUP(F153, Relic_Price_Config!$G$5:$N$100, 5, FALSE), 10) + ABS(N(M153)) * IFERROR(VLOOKUP(F153, Relic_Price_Config!$G$5:$N$100, 6, FALSE), 15) + IF(N(N153)&gt;1, (N(N153)-1)*10, 0)) * IFERROR(VLOOKUP(D153, Relic_Price_Config!$A$5:$E$9, 2, FALSE), 1), 0))))</f>
        <v>350</v>
      </c>
      <c r="U153" s="56" t="str">
        <f>IF(E153="OnGainRelic", "획득 시 즉발 (0원)", IFERROR(VLOOKUP(F153, Relic_Price_Config!$G$5:$N$100, 2, FALSE), "기타 효과"))</f>
        <v>공격 증가 [아군 공격 상승]</v>
      </c>
    </row>
    <row r="154" spans="1:21" ht="41.4" customHeight="1">
      <c r="A154" s="56" t="s">
        <v>2653</v>
      </c>
      <c r="B154" s="57" t="s">
        <v>2654</v>
      </c>
      <c r="C154" s="57" t="s">
        <v>2655</v>
      </c>
      <c r="D154" s="56" t="s">
        <v>34</v>
      </c>
      <c r="E154" s="56" t="s">
        <v>2202</v>
      </c>
      <c r="F154" s="56" t="s">
        <v>1860</v>
      </c>
      <c r="G154" s="56" t="s">
        <v>45</v>
      </c>
      <c r="H154" s="56">
        <v>0</v>
      </c>
      <c r="I154" s="56"/>
      <c r="J154" s="56">
        <v>0</v>
      </c>
      <c r="K154" s="56" t="s">
        <v>229</v>
      </c>
      <c r="L154" s="56"/>
      <c r="M154" s="56">
        <v>3</v>
      </c>
      <c r="N154" s="56">
        <v>-1</v>
      </c>
      <c r="O154" s="56">
        <v>3</v>
      </c>
      <c r="P154" s="56" t="s">
        <v>1247</v>
      </c>
      <c r="Q154" s="68">
        <f>IF(E154="OnGainRelic", 0, IF(OR(P154="Quest", P154="Monster", P154="Event", D154="Basic", D154="Upgrade"), -1, MIN(IFERROR(VLOOKUP(D154, Relic_Price_Config!$A$5:$E$9, 4, FALSE), 350), MAX(IFERROR(VLOOKUP(D154, Relic_Price_Config!$A$5:$E$9, 3, FALSE), 210), ROUND((IFERROR(VLOOKUP(F154, Relic_Price_Config!$G$5:$N$100, 4, FALSE), 280) + N(H154) * IFERROR(VLOOKUP(F154, Relic_Price_Config!$G$5:$N$100, 5, FALSE), 10) + ABS(N(M154)) * IFERROR(VLOOKUP(F154, Relic_Price_Config!$G$5:$N$100, 6, FALSE), 15) + IF(N(N154)&gt;1, (N(N154)-1)*10, 0)) * IFERROR(VLOOKUP(D154, Relic_Price_Config!$A$5:$E$9, 2, FALSE), 1), 0)))))</f>
        <v>-1</v>
      </c>
      <c r="R154" s="68">
        <f t="shared" si="8"/>
        <v>0</v>
      </c>
      <c r="S154" s="68">
        <f t="shared" si="9"/>
        <v>0</v>
      </c>
      <c r="T154" s="68">
        <f>IF(E154="OnGainRelic", 0, MIN(IFERROR(VLOOKUP(D154, Relic_Price_Config!$A$5:$E$9, 4, FALSE), 350), MAX(IFERROR(VLOOKUP(D154, Relic_Price_Config!$A$5:$E$9, 3, FALSE), 210), ROUND((IFERROR(VLOOKUP(F154, Relic_Price_Config!$G$5:$N$100, 4, FALSE), 280) + N(H154) * IFERROR(VLOOKUP(F154, Relic_Price_Config!$G$5:$N$100, 5, FALSE), 10) + ABS(N(M154)) * IFERROR(VLOOKUP(F154, Relic_Price_Config!$G$5:$N$100, 6, FALSE), 15) + IF(N(N154)&gt;1, (N(N154)-1)*10, 0)) * IFERROR(VLOOKUP(D154, Relic_Price_Config!$A$5:$E$9, 2, FALSE), 1), 0))))</f>
        <v>350</v>
      </c>
      <c r="U154" s="56" t="str">
        <f>IF(E154="OnGainRelic", "획득 시 즉발 (0원)", IFERROR(VLOOKUP(F154, Relic_Price_Config!$G$5:$N$100, 2, FALSE), "기타 효과"))</f>
        <v>방어 증가 [아군 방어 상승]</v>
      </c>
    </row>
    <row r="155" spans="1:21" ht="55.2" customHeight="1">
      <c r="A155" s="56" t="s">
        <v>2656</v>
      </c>
      <c r="B155" s="57" t="s">
        <v>2657</v>
      </c>
      <c r="C155" s="57" t="s">
        <v>2658</v>
      </c>
      <c r="D155" s="56" t="s">
        <v>208</v>
      </c>
      <c r="E155" s="56" t="s">
        <v>2202</v>
      </c>
      <c r="F155" s="56" t="s">
        <v>857</v>
      </c>
      <c r="G155" s="56" t="s">
        <v>45</v>
      </c>
      <c r="H155" s="56">
        <v>0</v>
      </c>
      <c r="I155" s="56"/>
      <c r="J155" s="56">
        <v>0</v>
      </c>
      <c r="K155" s="56" t="s">
        <v>71</v>
      </c>
      <c r="L155" s="56"/>
      <c r="M155" s="56">
        <v>4</v>
      </c>
      <c r="N155" s="56">
        <v>-1</v>
      </c>
      <c r="O155" s="56">
        <v>3</v>
      </c>
      <c r="P155" s="56" t="s">
        <v>1247</v>
      </c>
      <c r="Q155" s="68">
        <f>IF(E155="OnGainRelic", 0, IF(OR(P155="Quest", P155="Monster", P155="Event", D155="Basic", D155="Upgrade"), -1, MIN(IFERROR(VLOOKUP(D155, Relic_Price_Config!$A$5:$E$9, 4, FALSE), 350), MAX(IFERROR(VLOOKUP(D155, Relic_Price_Config!$A$5:$E$9, 3, FALSE), 210), ROUND((IFERROR(VLOOKUP(F155, Relic_Price_Config!$G$5:$N$100, 4, FALSE), 280) + N(H155) * IFERROR(VLOOKUP(F155, Relic_Price_Config!$G$5:$N$100, 5, FALSE), 10) + ABS(N(M155)) * IFERROR(VLOOKUP(F155, Relic_Price_Config!$G$5:$N$100, 6, FALSE), 15) + IF(N(N155)&gt;1, (N(N155)-1)*10, 0)) * IFERROR(VLOOKUP(D155, Relic_Price_Config!$A$5:$E$9, 2, FALSE), 1), 0)))))</f>
        <v>-1</v>
      </c>
      <c r="R155" s="68">
        <f t="shared" si="8"/>
        <v>0</v>
      </c>
      <c r="S155" s="68">
        <f t="shared" si="9"/>
        <v>0</v>
      </c>
      <c r="T155" s="68">
        <f>IF(E155="OnGainRelic", 0, MIN(IFERROR(VLOOKUP(D155, Relic_Price_Config!$A$5:$E$9, 4, FALSE), 350), MAX(IFERROR(VLOOKUP(D155, Relic_Price_Config!$A$5:$E$9, 3, FALSE), 210), ROUND((IFERROR(VLOOKUP(F155, Relic_Price_Config!$G$5:$N$100, 4, FALSE), 280) + N(H155) * IFERROR(VLOOKUP(F155, Relic_Price_Config!$G$5:$N$100, 5, FALSE), 10) + ABS(N(M155)) * IFERROR(VLOOKUP(F155, Relic_Price_Config!$G$5:$N$100, 6, FALSE), 15) + IF(N(N155)&gt;1, (N(N155)-1)*10, 0)) * IFERROR(VLOOKUP(D155, Relic_Price_Config!$A$5:$E$9, 2, FALSE), 1), 0))))</f>
        <v>525</v>
      </c>
      <c r="U155" s="56" t="str">
        <f>IF(E155="OnGainRelic", "획득 시 즉발 (0원)", IFERROR(VLOOKUP(F155, Relic_Price_Config!$G$5:$N$100, 2, FALSE), "기타 효과"))</f>
        <v>복합 버프 [자신 회피+공격 증가]</v>
      </c>
    </row>
    <row r="156" spans="1:21" ht="41.4" customHeight="1">
      <c r="A156" s="56" t="s">
        <v>2659</v>
      </c>
      <c r="B156" s="57" t="s">
        <v>2660</v>
      </c>
      <c r="C156" s="57" t="s">
        <v>2661</v>
      </c>
      <c r="D156" s="56" t="s">
        <v>208</v>
      </c>
      <c r="E156" s="56" t="s">
        <v>2202</v>
      </c>
      <c r="F156" s="56" t="s">
        <v>1860</v>
      </c>
      <c r="G156" s="56" t="s">
        <v>45</v>
      </c>
      <c r="H156" s="56">
        <v>0</v>
      </c>
      <c r="I156" s="56"/>
      <c r="J156" s="56">
        <v>0</v>
      </c>
      <c r="K156" s="56" t="s">
        <v>229</v>
      </c>
      <c r="L156" s="56"/>
      <c r="M156" s="56">
        <v>4</v>
      </c>
      <c r="N156" s="56">
        <v>-1</v>
      </c>
      <c r="O156" s="56">
        <v>3</v>
      </c>
      <c r="P156" s="56" t="s">
        <v>1247</v>
      </c>
      <c r="Q156" s="68">
        <f>IF(E156="OnGainRelic", 0, IF(OR(P156="Quest", P156="Monster", P156="Event", D156="Basic", D156="Upgrade"), -1, MIN(IFERROR(VLOOKUP(D156, Relic_Price_Config!$A$5:$E$9, 4, FALSE), 350), MAX(IFERROR(VLOOKUP(D156, Relic_Price_Config!$A$5:$E$9, 3, FALSE), 210), ROUND((IFERROR(VLOOKUP(F156, Relic_Price_Config!$G$5:$N$100, 4, FALSE), 280) + N(H156) * IFERROR(VLOOKUP(F156, Relic_Price_Config!$G$5:$N$100, 5, FALSE), 10) + ABS(N(M156)) * IFERROR(VLOOKUP(F156, Relic_Price_Config!$G$5:$N$100, 6, FALSE), 15) + IF(N(N156)&gt;1, (N(N156)-1)*10, 0)) * IFERROR(VLOOKUP(D156, Relic_Price_Config!$A$5:$E$9, 2, FALSE), 1), 0)))))</f>
        <v>-1</v>
      </c>
      <c r="R156" s="68">
        <f t="shared" si="8"/>
        <v>0</v>
      </c>
      <c r="S156" s="68">
        <f t="shared" si="9"/>
        <v>0</v>
      </c>
      <c r="T156" s="68">
        <f>IF(E156="OnGainRelic", 0, MIN(IFERROR(VLOOKUP(D156, Relic_Price_Config!$A$5:$E$9, 4, FALSE), 350), MAX(IFERROR(VLOOKUP(D156, Relic_Price_Config!$A$5:$E$9, 3, FALSE), 210), ROUND((IFERROR(VLOOKUP(F156, Relic_Price_Config!$G$5:$N$100, 4, FALSE), 280) + N(H156) * IFERROR(VLOOKUP(F156, Relic_Price_Config!$G$5:$N$100, 5, FALSE), 10) + ABS(N(M156)) * IFERROR(VLOOKUP(F156, Relic_Price_Config!$G$5:$N$100, 6, FALSE), 15) + IF(N(N156)&gt;1, (N(N156)-1)*10, 0)) * IFERROR(VLOOKUP(D156, Relic_Price_Config!$A$5:$E$9, 2, FALSE), 1), 0))))</f>
        <v>525</v>
      </c>
      <c r="U156" s="56" t="str">
        <f>IF(E156="OnGainRelic", "획득 시 즉발 (0원)", IFERROR(VLOOKUP(F156, Relic_Price_Config!$G$5:$N$100, 2, FALSE), "기타 효과"))</f>
        <v>방어 증가 [아군 방어 상승]</v>
      </c>
    </row>
    <row r="157" spans="1:21" ht="55.2" customHeight="1">
      <c r="A157" s="56" t="s">
        <v>2662</v>
      </c>
      <c r="B157" s="57" t="s">
        <v>2663</v>
      </c>
      <c r="C157" s="57" t="s">
        <v>2664</v>
      </c>
      <c r="D157" s="56" t="s">
        <v>295</v>
      </c>
      <c r="E157" s="56" t="s">
        <v>2202</v>
      </c>
      <c r="F157" s="56" t="s">
        <v>509</v>
      </c>
      <c r="G157" s="56" t="s">
        <v>45</v>
      </c>
      <c r="H157" s="56">
        <v>1</v>
      </c>
      <c r="I157" s="56"/>
      <c r="J157" s="56">
        <v>0</v>
      </c>
      <c r="K157" s="56" t="s">
        <v>71</v>
      </c>
      <c r="L157" s="56"/>
      <c r="M157" s="56">
        <v>5</v>
      </c>
      <c r="N157" s="56">
        <v>-1</v>
      </c>
      <c r="O157" s="56">
        <v>3</v>
      </c>
      <c r="P157" s="56" t="s">
        <v>1247</v>
      </c>
      <c r="Q157" s="68">
        <f>IF(E157="OnGainRelic", 0, IF(OR(P157="Quest", P157="Monster", P157="Event", D157="Basic", D157="Upgrade"), -1, MIN(IFERROR(VLOOKUP(D157, Relic_Price_Config!$A$5:$E$9, 4, FALSE), 350), MAX(IFERROR(VLOOKUP(D157, Relic_Price_Config!$A$5:$E$9, 3, FALSE), 210), ROUND((IFERROR(VLOOKUP(F157, Relic_Price_Config!$G$5:$N$100, 4, FALSE), 280) + N(H157) * IFERROR(VLOOKUP(F157, Relic_Price_Config!$G$5:$N$100, 5, FALSE), 10) + ABS(N(M157)) * IFERROR(VLOOKUP(F157, Relic_Price_Config!$G$5:$N$100, 6, FALSE), 15) + IF(N(N157)&gt;1, (N(N157)-1)*10, 0)) * IFERROR(VLOOKUP(D157, Relic_Price_Config!$A$5:$E$9, 2, FALSE), 1), 0)))))</f>
        <v>-1</v>
      </c>
      <c r="R157" s="68">
        <f t="shared" si="8"/>
        <v>0</v>
      </c>
      <c r="S157" s="68">
        <f t="shared" si="9"/>
        <v>0</v>
      </c>
      <c r="T157" s="68">
        <f>IF(E157="OnGainRelic", 0, MIN(IFERROR(VLOOKUP(D157, Relic_Price_Config!$A$5:$E$9, 4, FALSE), 350), MAX(IFERROR(VLOOKUP(D157, Relic_Price_Config!$A$5:$E$9, 3, FALSE), 210), ROUND((IFERROR(VLOOKUP(F157, Relic_Price_Config!$G$5:$N$100, 4, FALSE), 280) + N(H157) * IFERROR(VLOOKUP(F157, Relic_Price_Config!$G$5:$N$100, 5, FALSE), 10) + ABS(N(M157)) * IFERROR(VLOOKUP(F157, Relic_Price_Config!$G$5:$N$100, 6, FALSE), 15) + IF(N(N157)&gt;1, (N(N157)-1)*10, 0)) * IFERROR(VLOOKUP(D157, Relic_Price_Config!$A$5:$E$9, 2, FALSE), 1), 0))))</f>
        <v>700</v>
      </c>
      <c r="U157" s="56" t="str">
        <f>IF(E157="OnGainRelic", "획득 시 즉발 (0원)", IFERROR(VLOOKUP(F157, Relic_Price_Config!$G$5:$N$100, 2, FALSE), "기타 효과"))</f>
        <v>복합 유틸 [에너지 회복+용기]</v>
      </c>
    </row>
    <row r="158" spans="1:21" ht="41.4" customHeight="1">
      <c r="A158" s="56" t="s">
        <v>2665</v>
      </c>
      <c r="B158" s="57" t="s">
        <v>2666</v>
      </c>
      <c r="C158" s="57" t="s">
        <v>2667</v>
      </c>
      <c r="D158" s="56" t="s">
        <v>295</v>
      </c>
      <c r="E158" s="56" t="s">
        <v>2202</v>
      </c>
      <c r="F158" s="56" t="s">
        <v>158</v>
      </c>
      <c r="G158" s="56" t="s">
        <v>45</v>
      </c>
      <c r="H158" s="56">
        <v>6</v>
      </c>
      <c r="I158" s="56"/>
      <c r="J158" s="56">
        <v>0</v>
      </c>
      <c r="K158" s="56" t="s">
        <v>159</v>
      </c>
      <c r="L158" s="56"/>
      <c r="M158" s="56">
        <v>5</v>
      </c>
      <c r="N158" s="56">
        <v>-1</v>
      </c>
      <c r="O158" s="56">
        <v>3</v>
      </c>
      <c r="P158" s="56" t="s">
        <v>1247</v>
      </c>
      <c r="Q158" s="68">
        <f>IF(E158="OnGainRelic", 0, IF(OR(P158="Quest", P158="Monster", P158="Event", D158="Basic", D158="Upgrade"), -1, MIN(IFERROR(VLOOKUP(D158, Relic_Price_Config!$A$5:$E$9, 4, FALSE), 350), MAX(IFERROR(VLOOKUP(D158, Relic_Price_Config!$A$5:$E$9, 3, FALSE), 210), ROUND((IFERROR(VLOOKUP(F158, Relic_Price_Config!$G$5:$N$100, 4, FALSE), 280) + N(H158) * IFERROR(VLOOKUP(F158, Relic_Price_Config!$G$5:$N$100, 5, FALSE), 10) + ABS(N(M158)) * IFERROR(VLOOKUP(F158, Relic_Price_Config!$G$5:$N$100, 6, FALSE), 15) + IF(N(N158)&gt;1, (N(N158)-1)*10, 0)) * IFERROR(VLOOKUP(D158, Relic_Price_Config!$A$5:$E$9, 2, FALSE), 1), 0)))))</f>
        <v>-1</v>
      </c>
      <c r="R158" s="68">
        <f t="shared" si="8"/>
        <v>0</v>
      </c>
      <c r="S158" s="68">
        <f t="shared" si="9"/>
        <v>0</v>
      </c>
      <c r="T158" s="68">
        <f>IF(E158="OnGainRelic", 0, MIN(IFERROR(VLOOKUP(D158, Relic_Price_Config!$A$5:$E$9, 4, FALSE), 350), MAX(IFERROR(VLOOKUP(D158, Relic_Price_Config!$A$5:$E$9, 3, FALSE), 210), ROUND((IFERROR(VLOOKUP(F158, Relic_Price_Config!$G$5:$N$100, 4, FALSE), 280) + N(H158) * IFERROR(VLOOKUP(F158, Relic_Price_Config!$G$5:$N$100, 5, FALSE), 10) + ABS(N(M158)) * IFERROR(VLOOKUP(F158, Relic_Price_Config!$G$5:$N$100, 6, FALSE), 15) + IF(N(N158)&gt;1, (N(N158)-1)*10, 0)) * IFERROR(VLOOKUP(D158, Relic_Price_Config!$A$5:$E$9, 2, FALSE), 1), 0))))</f>
        <v>700</v>
      </c>
      <c r="U158" s="56" t="str">
        <f>IF(E158="OnGainRelic", "획득 시 즉발 (0원)", IFERROR(VLOOKUP(F158, Relic_Price_Config!$G$5:$N$100, 2, FALSE), "기타 효과"))</f>
        <v>복합 회복 [자힐+가호]</v>
      </c>
    </row>
  </sheetData>
  <autoFilter ref="A3:Q158" xr:uid="{00000000-0009-0000-0000-000004000000}">
    <sortState xmlns:xlrd2="http://schemas.microsoft.com/office/spreadsheetml/2017/richdata2" ref="A4:Q85">
      <sortCondition ref="A3:A85"/>
    </sortState>
  </autoFilter>
  <mergeCells count="2">
    <mergeCell ref="P2:Q2"/>
    <mergeCell ref="P1:Q1"/>
  </mergeCells>
  <phoneticPr fontId="2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topLeftCell="A20" workbookViewId="0">
      <selection activeCell="E18" sqref="E18"/>
    </sheetView>
  </sheetViews>
  <sheetFormatPr defaultRowHeight="17.399999999999999"/>
  <cols>
    <col min="1" max="1" width="18" customWidth="1"/>
    <col min="2" max="4" width="14" customWidth="1"/>
    <col min="5" max="5" width="42" customWidth="1"/>
    <col min="6" max="6" width="4" customWidth="1"/>
    <col min="7" max="7" width="24" customWidth="1"/>
    <col min="8" max="8" width="26" customWidth="1"/>
    <col min="9" max="9" width="15" customWidth="1"/>
    <col min="10" max="10" width="14" customWidth="1"/>
    <col min="11" max="11" width="16" customWidth="1"/>
    <col min="12" max="12" width="17" customWidth="1"/>
    <col min="13" max="13" width="15" customWidth="1"/>
    <col min="14" max="14" width="52" customWidth="1"/>
  </cols>
  <sheetData>
    <row r="1" spans="1:14" ht="34.049999999999997" customHeight="1">
      <c r="A1" s="95" t="s">
        <v>2668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2.05" customHeight="1">
      <c r="A2" s="97" t="s">
        <v>2669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ht="25.05" customHeight="1">
      <c r="A3" s="99" t="s">
        <v>2670</v>
      </c>
      <c r="B3" s="92"/>
      <c r="C3" s="92"/>
      <c r="D3" s="92"/>
      <c r="E3" s="92"/>
      <c r="G3" s="96" t="s">
        <v>2671</v>
      </c>
      <c r="H3" s="92"/>
      <c r="I3" s="92"/>
      <c r="J3" s="92"/>
      <c r="K3" s="92"/>
      <c r="L3" s="92"/>
      <c r="M3" s="92"/>
      <c r="N3" s="92"/>
    </row>
    <row r="4" spans="1:14" ht="24" customHeight="1">
      <c r="A4" s="69" t="s">
        <v>1698</v>
      </c>
      <c r="B4" s="69" t="s">
        <v>2672</v>
      </c>
      <c r="C4" s="69" t="s">
        <v>2673</v>
      </c>
      <c r="D4" s="69" t="s">
        <v>2674</v>
      </c>
      <c r="E4" s="69" t="s">
        <v>2675</v>
      </c>
      <c r="G4" s="70" t="s">
        <v>7</v>
      </c>
      <c r="H4" s="70" t="s">
        <v>2676</v>
      </c>
      <c r="I4" s="70" t="s">
        <v>2677</v>
      </c>
      <c r="J4" s="70" t="s">
        <v>2678</v>
      </c>
      <c r="K4" s="70" t="s">
        <v>2679</v>
      </c>
      <c r="L4" s="70" t="s">
        <v>2680</v>
      </c>
      <c r="M4" s="70" t="s">
        <v>2681</v>
      </c>
      <c r="N4" s="70" t="s">
        <v>2682</v>
      </c>
    </row>
    <row r="5" spans="1:14" ht="22.05" customHeight="1">
      <c r="A5" s="71" t="s">
        <v>34</v>
      </c>
      <c r="B5" s="72">
        <v>1</v>
      </c>
      <c r="C5" s="73">
        <v>210</v>
      </c>
      <c r="D5" s="73">
        <v>350</v>
      </c>
      <c r="E5" s="74" t="s">
        <v>2683</v>
      </c>
      <c r="G5" s="71" t="s">
        <v>1851</v>
      </c>
      <c r="H5" s="74" t="s">
        <v>2684</v>
      </c>
      <c r="I5" s="75" t="s">
        <v>38</v>
      </c>
      <c r="J5" s="73">
        <v>210</v>
      </c>
      <c r="K5" s="76">
        <v>0.5</v>
      </c>
      <c r="L5" s="73">
        <v>0</v>
      </c>
      <c r="M5" s="75" t="s">
        <v>2685</v>
      </c>
      <c r="N5" s="74" t="s">
        <v>2686</v>
      </c>
    </row>
    <row r="6" spans="1:14" ht="22.05" customHeight="1">
      <c r="A6" s="77" t="s">
        <v>208</v>
      </c>
      <c r="B6" s="78">
        <v>1.5</v>
      </c>
      <c r="C6" s="79">
        <v>315</v>
      </c>
      <c r="D6" s="79">
        <v>525</v>
      </c>
      <c r="E6" s="80" t="s">
        <v>2687</v>
      </c>
      <c r="G6" s="77" t="s">
        <v>146</v>
      </c>
      <c r="H6" s="80" t="s">
        <v>2688</v>
      </c>
      <c r="I6" s="81" t="s">
        <v>38</v>
      </c>
      <c r="J6" s="79">
        <v>300</v>
      </c>
      <c r="K6" s="79">
        <v>30</v>
      </c>
      <c r="L6" s="79">
        <v>0</v>
      </c>
      <c r="M6" s="81" t="s">
        <v>2689</v>
      </c>
      <c r="N6" s="80" t="s">
        <v>2690</v>
      </c>
    </row>
    <row r="7" spans="1:14" ht="22.05" customHeight="1">
      <c r="A7" s="71" t="s">
        <v>295</v>
      </c>
      <c r="B7" s="72">
        <v>2</v>
      </c>
      <c r="C7" s="73">
        <v>420</v>
      </c>
      <c r="D7" s="73">
        <v>700</v>
      </c>
      <c r="E7" s="74" t="s">
        <v>2691</v>
      </c>
      <c r="G7" s="71" t="s">
        <v>1771</v>
      </c>
      <c r="H7" s="74" t="s">
        <v>2692</v>
      </c>
      <c r="I7" s="75" t="s">
        <v>159</v>
      </c>
      <c r="J7" s="73">
        <v>280</v>
      </c>
      <c r="K7" s="73">
        <v>0</v>
      </c>
      <c r="L7" s="73">
        <v>25</v>
      </c>
      <c r="M7" s="75" t="s">
        <v>2693</v>
      </c>
      <c r="N7" s="74" t="s">
        <v>2694</v>
      </c>
    </row>
    <row r="8" spans="1:14" ht="22.05" customHeight="1">
      <c r="A8" s="77" t="s">
        <v>32</v>
      </c>
      <c r="B8" s="78">
        <v>1</v>
      </c>
      <c r="C8" s="79">
        <v>210</v>
      </c>
      <c r="D8" s="79">
        <v>350</v>
      </c>
      <c r="E8" s="80" t="s">
        <v>2695</v>
      </c>
      <c r="G8" s="77" t="s">
        <v>1860</v>
      </c>
      <c r="H8" s="80" t="s">
        <v>2692</v>
      </c>
      <c r="I8" s="81" t="s">
        <v>229</v>
      </c>
      <c r="J8" s="79">
        <v>280</v>
      </c>
      <c r="K8" s="79">
        <v>0</v>
      </c>
      <c r="L8" s="79">
        <v>25</v>
      </c>
      <c r="M8" s="81" t="s">
        <v>2693</v>
      </c>
      <c r="N8" s="80" t="s">
        <v>2696</v>
      </c>
    </row>
    <row r="9" spans="1:14" ht="22.05" customHeight="1">
      <c r="A9" s="71" t="s">
        <v>1716</v>
      </c>
      <c r="B9" s="72">
        <v>1.5</v>
      </c>
      <c r="C9" s="73">
        <v>315</v>
      </c>
      <c r="D9" s="73">
        <v>525</v>
      </c>
      <c r="E9" s="74" t="s">
        <v>2697</v>
      </c>
      <c r="G9" s="71" t="s">
        <v>672</v>
      </c>
      <c r="H9" s="74" t="s">
        <v>2698</v>
      </c>
      <c r="I9" s="75" t="s">
        <v>229</v>
      </c>
      <c r="J9" s="73">
        <v>290</v>
      </c>
      <c r="K9" s="73">
        <v>0</v>
      </c>
      <c r="L9" s="73">
        <v>25</v>
      </c>
      <c r="M9" s="75" t="s">
        <v>2699</v>
      </c>
      <c r="N9" s="74" t="s">
        <v>2700</v>
      </c>
    </row>
    <row r="10" spans="1:14" ht="22.05" customHeight="1">
      <c r="G10" s="77" t="s">
        <v>1327</v>
      </c>
      <c r="H10" s="80" t="s">
        <v>2701</v>
      </c>
      <c r="I10" s="81" t="s">
        <v>316</v>
      </c>
      <c r="J10" s="79">
        <v>280</v>
      </c>
      <c r="K10" s="79">
        <v>0</v>
      </c>
      <c r="L10" s="79">
        <v>25</v>
      </c>
      <c r="M10" s="81" t="s">
        <v>2693</v>
      </c>
      <c r="N10" s="80" t="s">
        <v>2702</v>
      </c>
    </row>
    <row r="11" spans="1:14" ht="25.05" customHeight="1">
      <c r="A11" s="99" t="s">
        <v>2703</v>
      </c>
      <c r="B11" s="92"/>
      <c r="C11" s="92"/>
      <c r="D11" s="92"/>
      <c r="E11" s="92"/>
      <c r="G11" s="71" t="s">
        <v>1091</v>
      </c>
      <c r="H11" s="74" t="s">
        <v>2704</v>
      </c>
      <c r="I11" s="75" t="s">
        <v>357</v>
      </c>
      <c r="J11" s="73">
        <v>290</v>
      </c>
      <c r="K11" s="73">
        <v>0</v>
      </c>
      <c r="L11" s="73">
        <v>20</v>
      </c>
      <c r="M11" s="75" t="s">
        <v>2705</v>
      </c>
      <c r="N11" s="74" t="s">
        <v>2706</v>
      </c>
    </row>
    <row r="12" spans="1:14" ht="24" customHeight="1">
      <c r="A12" s="69" t="s">
        <v>2707</v>
      </c>
      <c r="B12" s="69" t="s">
        <v>2708</v>
      </c>
      <c r="C12" s="69" t="s">
        <v>2709</v>
      </c>
      <c r="D12" s="69" t="s">
        <v>2710</v>
      </c>
      <c r="E12" s="69" t="s">
        <v>2711</v>
      </c>
      <c r="G12" s="77" t="s">
        <v>883</v>
      </c>
      <c r="H12" s="80" t="s">
        <v>2712</v>
      </c>
      <c r="I12" s="81" t="s">
        <v>413</v>
      </c>
      <c r="J12" s="79">
        <v>275</v>
      </c>
      <c r="K12" s="79">
        <v>0</v>
      </c>
      <c r="L12" s="79">
        <v>20</v>
      </c>
      <c r="M12" s="81" t="s">
        <v>2713</v>
      </c>
      <c r="N12" s="80" t="s">
        <v>2714</v>
      </c>
    </row>
    <row r="13" spans="1:14" ht="22.05" customHeight="1">
      <c r="A13" s="71" t="s">
        <v>2715</v>
      </c>
      <c r="B13" s="75" t="s">
        <v>2233</v>
      </c>
      <c r="C13" s="75" t="s">
        <v>2716</v>
      </c>
      <c r="D13" s="82">
        <v>0</v>
      </c>
      <c r="E13" s="74" t="s">
        <v>2717</v>
      </c>
      <c r="G13" s="71" t="s">
        <v>70</v>
      </c>
      <c r="H13" s="74" t="s">
        <v>2718</v>
      </c>
      <c r="I13" s="75" t="s">
        <v>71</v>
      </c>
      <c r="J13" s="73">
        <v>280</v>
      </c>
      <c r="K13" s="73">
        <v>0</v>
      </c>
      <c r="L13" s="73">
        <v>25</v>
      </c>
      <c r="M13" s="75" t="s">
        <v>2693</v>
      </c>
      <c r="N13" s="74" t="s">
        <v>2719</v>
      </c>
    </row>
    <row r="14" spans="1:14" ht="31.2" customHeight="1">
      <c r="A14" s="77" t="s">
        <v>2720</v>
      </c>
      <c r="B14" s="81" t="s">
        <v>2721</v>
      </c>
      <c r="C14" s="81" t="s">
        <v>2722</v>
      </c>
      <c r="D14" s="83">
        <v>-1</v>
      </c>
      <c r="E14" s="80" t="s">
        <v>2723</v>
      </c>
      <c r="G14" s="77" t="s">
        <v>613</v>
      </c>
      <c r="H14" s="80" t="s">
        <v>2724</v>
      </c>
      <c r="I14" s="81" t="s">
        <v>71</v>
      </c>
      <c r="J14" s="79">
        <v>290</v>
      </c>
      <c r="K14" s="79">
        <v>0</v>
      </c>
      <c r="L14" s="79">
        <v>25</v>
      </c>
      <c r="M14" s="81" t="s">
        <v>2699</v>
      </c>
      <c r="N14" s="80" t="s">
        <v>2725</v>
      </c>
    </row>
    <row r="15" spans="1:14" ht="31.2" customHeight="1">
      <c r="A15" s="71" t="s">
        <v>2726</v>
      </c>
      <c r="B15" s="75" t="s">
        <v>2727</v>
      </c>
      <c r="C15" s="75" t="s">
        <v>2728</v>
      </c>
      <c r="D15" s="82">
        <v>0</v>
      </c>
      <c r="E15" s="74" t="s">
        <v>2729</v>
      </c>
      <c r="G15" s="71" t="s">
        <v>418</v>
      </c>
      <c r="H15" s="74" t="s">
        <v>2730</v>
      </c>
      <c r="I15" s="75" t="s">
        <v>94</v>
      </c>
      <c r="J15" s="73">
        <v>290</v>
      </c>
      <c r="K15" s="73">
        <v>0</v>
      </c>
      <c r="L15" s="73">
        <v>20</v>
      </c>
      <c r="M15" s="75" t="s">
        <v>2705</v>
      </c>
      <c r="N15" s="74" t="s">
        <v>2731</v>
      </c>
    </row>
    <row r="16" spans="1:14" ht="31.2" customHeight="1">
      <c r="A16" s="77" t="s">
        <v>2732</v>
      </c>
      <c r="B16" s="81" t="s">
        <v>2733</v>
      </c>
      <c r="C16" s="81" t="s">
        <v>2734</v>
      </c>
      <c r="D16" s="83">
        <v>10</v>
      </c>
      <c r="E16" s="80" t="s">
        <v>2735</v>
      </c>
      <c r="G16" s="77" t="s">
        <v>1308</v>
      </c>
      <c r="H16" s="80" t="s">
        <v>2736</v>
      </c>
      <c r="I16" s="81" t="s">
        <v>130</v>
      </c>
      <c r="J16" s="79">
        <v>275</v>
      </c>
      <c r="K16" s="79">
        <v>0</v>
      </c>
      <c r="L16" s="79">
        <v>20</v>
      </c>
      <c r="M16" s="81" t="s">
        <v>2713</v>
      </c>
      <c r="N16" s="80" t="s">
        <v>2737</v>
      </c>
    </row>
    <row r="17" spans="1:14" ht="31.2" customHeight="1">
      <c r="A17" s="71" t="s">
        <v>2738</v>
      </c>
      <c r="B17" s="75" t="s">
        <v>2739</v>
      </c>
      <c r="C17" s="75" t="s">
        <v>2740</v>
      </c>
      <c r="D17" s="82">
        <v>0.7</v>
      </c>
      <c r="E17" s="74" t="s">
        <v>2741</v>
      </c>
      <c r="G17" s="71" t="s">
        <v>44</v>
      </c>
      <c r="H17" s="74" t="s">
        <v>2742</v>
      </c>
      <c r="I17" s="75" t="s">
        <v>38</v>
      </c>
      <c r="J17" s="73">
        <v>270</v>
      </c>
      <c r="K17" s="73">
        <v>15</v>
      </c>
      <c r="L17" s="73">
        <v>0</v>
      </c>
      <c r="M17" s="75" t="s">
        <v>2743</v>
      </c>
      <c r="N17" s="74" t="s">
        <v>2744</v>
      </c>
    </row>
    <row r="18" spans="1:14" ht="22.05" customHeight="1">
      <c r="G18" s="77" t="s">
        <v>638</v>
      </c>
      <c r="H18" s="80" t="s">
        <v>2745</v>
      </c>
      <c r="I18" s="81" t="s">
        <v>38</v>
      </c>
      <c r="J18" s="79">
        <v>280</v>
      </c>
      <c r="K18" s="79">
        <v>12</v>
      </c>
      <c r="L18" s="79">
        <v>0</v>
      </c>
      <c r="M18" s="81" t="s">
        <v>2746</v>
      </c>
      <c r="N18" s="80" t="s">
        <v>2747</v>
      </c>
    </row>
    <row r="19" spans="1:14" ht="25.05" customHeight="1">
      <c r="A19" s="98" t="s">
        <v>2748</v>
      </c>
      <c r="B19" s="92"/>
      <c r="C19" s="92"/>
      <c r="D19" s="92"/>
      <c r="E19" s="92"/>
      <c r="G19" s="71" t="s">
        <v>1579</v>
      </c>
      <c r="H19" s="74" t="s">
        <v>2749</v>
      </c>
      <c r="I19" s="75" t="s">
        <v>38</v>
      </c>
      <c r="J19" s="73">
        <v>270</v>
      </c>
      <c r="K19" s="73">
        <v>15</v>
      </c>
      <c r="L19" s="73">
        <v>0</v>
      </c>
      <c r="M19" s="75" t="s">
        <v>2750</v>
      </c>
      <c r="N19" s="74" t="s">
        <v>2751</v>
      </c>
    </row>
    <row r="20" spans="1:14" ht="24" customHeight="1">
      <c r="A20" s="84" t="s">
        <v>2752</v>
      </c>
      <c r="B20" s="84" t="s">
        <v>2753</v>
      </c>
      <c r="C20" s="84" t="s">
        <v>2754</v>
      </c>
      <c r="D20" s="84" t="s">
        <v>2755</v>
      </c>
      <c r="E20" s="84" t="s">
        <v>2756</v>
      </c>
      <c r="G20" s="77" t="s">
        <v>100</v>
      </c>
      <c r="H20" s="80" t="s">
        <v>2757</v>
      </c>
      <c r="I20" s="81" t="s">
        <v>101</v>
      </c>
      <c r="J20" s="79">
        <v>290</v>
      </c>
      <c r="K20" s="79">
        <v>0</v>
      </c>
      <c r="L20" s="79">
        <v>20</v>
      </c>
      <c r="M20" s="81" t="s">
        <v>2758</v>
      </c>
      <c r="N20" s="80" t="s">
        <v>2759</v>
      </c>
    </row>
    <row r="21" spans="1:14" ht="22.05" customHeight="1">
      <c r="A21" s="71" t="s">
        <v>2760</v>
      </c>
      <c r="B21" s="75">
        <v>37</v>
      </c>
      <c r="C21" s="73">
        <v>307</v>
      </c>
      <c r="D21" s="73">
        <v>215</v>
      </c>
      <c r="E21" s="73">
        <v>350</v>
      </c>
      <c r="G21" s="71" t="s">
        <v>789</v>
      </c>
      <c r="H21" s="74" t="s">
        <v>2761</v>
      </c>
      <c r="I21" s="75" t="s">
        <v>329</v>
      </c>
      <c r="J21" s="73">
        <v>295</v>
      </c>
      <c r="K21" s="73">
        <v>0</v>
      </c>
      <c r="L21" s="73">
        <v>20</v>
      </c>
      <c r="M21" s="75" t="s">
        <v>2713</v>
      </c>
      <c r="N21" s="74" t="s">
        <v>2762</v>
      </c>
    </row>
    <row r="22" spans="1:14" ht="22.05" customHeight="1">
      <c r="A22" s="77" t="s">
        <v>2763</v>
      </c>
      <c r="B22" s="81">
        <v>15</v>
      </c>
      <c r="C22" s="79">
        <v>485</v>
      </c>
      <c r="D22" s="79">
        <v>375</v>
      </c>
      <c r="E22" s="79">
        <v>525</v>
      </c>
      <c r="G22" s="77" t="s">
        <v>1076</v>
      </c>
      <c r="H22" s="80" t="s">
        <v>2764</v>
      </c>
      <c r="I22" s="81" t="s">
        <v>322</v>
      </c>
      <c r="J22" s="79">
        <v>275</v>
      </c>
      <c r="K22" s="79">
        <v>0</v>
      </c>
      <c r="L22" s="79">
        <v>20</v>
      </c>
      <c r="M22" s="81" t="s">
        <v>2713</v>
      </c>
      <c r="N22" s="80" t="s">
        <v>2765</v>
      </c>
    </row>
    <row r="23" spans="1:14" ht="22.05" customHeight="1">
      <c r="A23" s="71" t="s">
        <v>2766</v>
      </c>
      <c r="B23" s="75">
        <v>14</v>
      </c>
      <c r="C23" s="73">
        <v>665</v>
      </c>
      <c r="D23" s="73">
        <v>590</v>
      </c>
      <c r="E23" s="73">
        <v>700</v>
      </c>
      <c r="G23" s="71" t="s">
        <v>1338</v>
      </c>
      <c r="H23" s="74" t="s">
        <v>2767</v>
      </c>
      <c r="I23" s="75" t="s">
        <v>1011</v>
      </c>
      <c r="J23" s="73">
        <v>275</v>
      </c>
      <c r="K23" s="73">
        <v>0</v>
      </c>
      <c r="L23" s="73">
        <v>20</v>
      </c>
      <c r="M23" s="75" t="s">
        <v>2713</v>
      </c>
      <c r="N23" s="74" t="s">
        <v>2768</v>
      </c>
    </row>
    <row r="24" spans="1:14" ht="22.05" customHeight="1">
      <c r="G24" s="77" t="s">
        <v>1962</v>
      </c>
      <c r="H24" s="80" t="s">
        <v>2769</v>
      </c>
      <c r="I24" s="81" t="s">
        <v>1785</v>
      </c>
      <c r="J24" s="79">
        <v>295</v>
      </c>
      <c r="K24" s="79">
        <v>0</v>
      </c>
      <c r="L24" s="79">
        <v>20</v>
      </c>
      <c r="M24" s="81" t="s">
        <v>2713</v>
      </c>
      <c r="N24" s="80" t="s">
        <v>2770</v>
      </c>
    </row>
    <row r="25" spans="1:14" ht="22.05" customHeight="1">
      <c r="G25" s="71" t="s">
        <v>1845</v>
      </c>
      <c r="H25" s="74" t="s">
        <v>2771</v>
      </c>
      <c r="I25" s="75" t="s">
        <v>329</v>
      </c>
      <c r="J25" s="73">
        <v>295</v>
      </c>
      <c r="K25" s="73">
        <v>0</v>
      </c>
      <c r="L25" s="73">
        <v>20</v>
      </c>
      <c r="M25" s="75" t="s">
        <v>2713</v>
      </c>
      <c r="N25" s="74" t="s">
        <v>2772</v>
      </c>
    </row>
    <row r="26" spans="1:14" ht="22.05" customHeight="1">
      <c r="G26" s="77" t="s">
        <v>1839</v>
      </c>
      <c r="H26" s="80" t="s">
        <v>2773</v>
      </c>
      <c r="I26" s="81" t="s">
        <v>38</v>
      </c>
      <c r="J26" s="79">
        <v>300</v>
      </c>
      <c r="K26" s="79">
        <v>15</v>
      </c>
      <c r="L26" s="79">
        <v>0</v>
      </c>
      <c r="M26" s="81" t="s">
        <v>2774</v>
      </c>
      <c r="N26" s="80" t="s">
        <v>2775</v>
      </c>
    </row>
    <row r="27" spans="1:14" ht="22.05" customHeight="1">
      <c r="G27" s="71" t="s">
        <v>652</v>
      </c>
      <c r="H27" s="74" t="s">
        <v>2776</v>
      </c>
      <c r="I27" s="75" t="s">
        <v>38</v>
      </c>
      <c r="J27" s="73">
        <v>260</v>
      </c>
      <c r="K27" s="73">
        <v>10</v>
      </c>
      <c r="L27" s="73">
        <v>0</v>
      </c>
      <c r="M27" s="75" t="s">
        <v>2777</v>
      </c>
      <c r="N27" s="74" t="s">
        <v>2778</v>
      </c>
    </row>
    <row r="28" spans="1:14" ht="22.05" customHeight="1">
      <c r="G28" s="77" t="s">
        <v>1717</v>
      </c>
      <c r="H28" s="80" t="s">
        <v>2779</v>
      </c>
      <c r="I28" s="81" t="s">
        <v>109</v>
      </c>
      <c r="J28" s="79">
        <v>270</v>
      </c>
      <c r="K28" s="79">
        <v>0</v>
      </c>
      <c r="L28" s="79">
        <v>20</v>
      </c>
      <c r="M28" s="81" t="s">
        <v>2758</v>
      </c>
      <c r="N28" s="80" t="s">
        <v>2780</v>
      </c>
    </row>
    <row r="29" spans="1:14" ht="22.05" customHeight="1">
      <c r="G29" s="71" t="s">
        <v>1829</v>
      </c>
      <c r="H29" s="74" t="s">
        <v>2781</v>
      </c>
      <c r="I29" s="75" t="s">
        <v>562</v>
      </c>
      <c r="J29" s="73">
        <v>275</v>
      </c>
      <c r="K29" s="73">
        <v>0</v>
      </c>
      <c r="L29" s="73">
        <v>20</v>
      </c>
      <c r="M29" s="75" t="s">
        <v>2713</v>
      </c>
      <c r="N29" s="74" t="s">
        <v>2782</v>
      </c>
    </row>
    <row r="30" spans="1:14" ht="22.05" customHeight="1">
      <c r="G30" s="77" t="s">
        <v>1862</v>
      </c>
      <c r="H30" s="80" t="s">
        <v>2783</v>
      </c>
      <c r="I30" s="81" t="s">
        <v>38</v>
      </c>
      <c r="J30" s="79">
        <v>240</v>
      </c>
      <c r="K30" s="79">
        <v>10</v>
      </c>
      <c r="L30" s="79">
        <v>0</v>
      </c>
      <c r="M30" s="81" t="s">
        <v>2784</v>
      </c>
      <c r="N30" s="80" t="s">
        <v>2785</v>
      </c>
    </row>
    <row r="31" spans="1:14" ht="22.05" customHeight="1">
      <c r="G31" s="71" t="s">
        <v>1854</v>
      </c>
      <c r="H31" s="74" t="s">
        <v>2786</v>
      </c>
      <c r="I31" s="75" t="s">
        <v>38</v>
      </c>
      <c r="J31" s="73">
        <v>250</v>
      </c>
      <c r="K31" s="73">
        <v>20</v>
      </c>
      <c r="L31" s="73">
        <v>0</v>
      </c>
      <c r="M31" s="75" t="s">
        <v>2787</v>
      </c>
      <c r="N31" s="74" t="s">
        <v>2788</v>
      </c>
    </row>
    <row r="32" spans="1:14">
      <c r="G32" s="71" t="s">
        <v>2031</v>
      </c>
      <c r="H32" s="74" t="s">
        <v>2789</v>
      </c>
      <c r="I32" s="75" t="s">
        <v>38</v>
      </c>
      <c r="J32" s="82">
        <v>260</v>
      </c>
      <c r="K32" s="82">
        <v>2</v>
      </c>
      <c r="L32" s="82">
        <v>0</v>
      </c>
      <c r="M32" s="75" t="s">
        <v>2790</v>
      </c>
      <c r="N32" s="74" t="s">
        <v>2791</v>
      </c>
    </row>
    <row r="33" spans="7:14">
      <c r="G33" s="71" t="s">
        <v>1520</v>
      </c>
      <c r="H33" s="74" t="s">
        <v>2792</v>
      </c>
      <c r="I33" s="75" t="s">
        <v>53</v>
      </c>
      <c r="J33" s="82">
        <v>280</v>
      </c>
      <c r="K33" s="82">
        <v>0</v>
      </c>
      <c r="L33" s="82">
        <v>20</v>
      </c>
      <c r="M33" s="75" t="s">
        <v>2790</v>
      </c>
      <c r="N33" s="74" t="s">
        <v>2793</v>
      </c>
    </row>
    <row r="34" spans="7:14">
      <c r="G34" s="71" t="s">
        <v>1916</v>
      </c>
      <c r="H34" s="74" t="s">
        <v>2794</v>
      </c>
      <c r="I34" s="75" t="s">
        <v>251</v>
      </c>
      <c r="J34" s="82">
        <v>280</v>
      </c>
      <c r="K34" s="82">
        <v>0</v>
      </c>
      <c r="L34" s="82">
        <v>1</v>
      </c>
      <c r="M34" s="75" t="s">
        <v>2790</v>
      </c>
      <c r="N34" s="74" t="s">
        <v>2795</v>
      </c>
    </row>
    <row r="35" spans="7:14">
      <c r="G35" s="71" t="s">
        <v>1371</v>
      </c>
      <c r="H35" s="74" t="s">
        <v>2796</v>
      </c>
      <c r="I35" s="75" t="s">
        <v>180</v>
      </c>
      <c r="J35" s="82">
        <v>280</v>
      </c>
      <c r="K35" s="82">
        <v>0</v>
      </c>
      <c r="L35" s="82">
        <v>15</v>
      </c>
      <c r="M35" s="75" t="s">
        <v>2797</v>
      </c>
      <c r="N35" s="74" t="s">
        <v>2798</v>
      </c>
    </row>
    <row r="36" spans="7:14" ht="31.2" customHeight="1">
      <c r="G36" s="71" t="s">
        <v>2034</v>
      </c>
      <c r="H36" s="74" t="s">
        <v>2799</v>
      </c>
      <c r="I36" s="75" t="s">
        <v>71</v>
      </c>
      <c r="J36" s="82">
        <v>280</v>
      </c>
      <c r="K36" s="82">
        <v>10</v>
      </c>
      <c r="L36" s="82">
        <v>20</v>
      </c>
      <c r="M36" s="75" t="s">
        <v>2774</v>
      </c>
      <c r="N36" s="74" t="s">
        <v>2800</v>
      </c>
    </row>
    <row r="37" spans="7:14">
      <c r="G37" s="71" t="s">
        <v>77</v>
      </c>
      <c r="H37" s="74" t="s">
        <v>2801</v>
      </c>
      <c r="I37" s="75" t="s">
        <v>38</v>
      </c>
      <c r="J37" s="82">
        <v>250</v>
      </c>
      <c r="K37" s="82">
        <v>8</v>
      </c>
      <c r="L37" s="82">
        <v>0</v>
      </c>
      <c r="M37" s="75" t="s">
        <v>2777</v>
      </c>
      <c r="N37" s="74" t="s">
        <v>2802</v>
      </c>
    </row>
    <row r="38" spans="7:14">
      <c r="G38" s="71" t="s">
        <v>35</v>
      </c>
      <c r="H38" s="74" t="s">
        <v>2803</v>
      </c>
      <c r="I38" s="75" t="s">
        <v>38</v>
      </c>
      <c r="J38" s="82">
        <v>255</v>
      </c>
      <c r="K38" s="82">
        <v>6</v>
      </c>
      <c r="L38" s="82">
        <v>0</v>
      </c>
      <c r="M38" s="75" t="s">
        <v>2804</v>
      </c>
      <c r="N38" s="74" t="s">
        <v>2805</v>
      </c>
    </row>
    <row r="39" spans="7:14">
      <c r="G39" s="71" t="s">
        <v>60</v>
      </c>
      <c r="H39" s="74" t="s">
        <v>2806</v>
      </c>
      <c r="I39" s="75" t="s">
        <v>38</v>
      </c>
      <c r="J39" s="82">
        <v>260</v>
      </c>
      <c r="K39" s="82">
        <v>8</v>
      </c>
      <c r="L39" s="82">
        <v>0</v>
      </c>
      <c r="M39" s="75" t="s">
        <v>2807</v>
      </c>
      <c r="N39" s="74" t="s">
        <v>2808</v>
      </c>
    </row>
    <row r="40" spans="7:14">
      <c r="G40" s="71" t="s">
        <v>174</v>
      </c>
      <c r="H40" s="74" t="s">
        <v>2809</v>
      </c>
      <c r="I40" s="75" t="s">
        <v>38</v>
      </c>
      <c r="J40" s="82">
        <v>265</v>
      </c>
      <c r="K40" s="82">
        <v>6</v>
      </c>
      <c r="L40" s="82">
        <v>0</v>
      </c>
      <c r="M40" s="75" t="s">
        <v>2810</v>
      </c>
      <c r="N40" s="74" t="s">
        <v>2811</v>
      </c>
    </row>
    <row r="41" spans="7:14">
      <c r="G41" s="71" t="s">
        <v>93</v>
      </c>
      <c r="H41" s="74" t="s">
        <v>2812</v>
      </c>
      <c r="I41" s="75" t="s">
        <v>94</v>
      </c>
      <c r="J41" s="82">
        <v>265</v>
      </c>
      <c r="K41" s="82">
        <v>6</v>
      </c>
      <c r="L41" s="82">
        <v>15</v>
      </c>
      <c r="M41" s="75" t="s">
        <v>2807</v>
      </c>
      <c r="N41" s="74" t="s">
        <v>2813</v>
      </c>
    </row>
    <row r="42" spans="7:14">
      <c r="G42" s="71" t="s">
        <v>350</v>
      </c>
      <c r="H42" s="74" t="s">
        <v>2814</v>
      </c>
      <c r="I42" s="75" t="s">
        <v>94</v>
      </c>
      <c r="J42" s="82">
        <v>275</v>
      </c>
      <c r="K42" s="82">
        <v>5</v>
      </c>
      <c r="L42" s="82">
        <v>15</v>
      </c>
      <c r="M42" s="75" t="s">
        <v>2815</v>
      </c>
      <c r="N42" s="74" t="s">
        <v>2816</v>
      </c>
    </row>
    <row r="43" spans="7:14">
      <c r="G43" s="71" t="s">
        <v>129</v>
      </c>
      <c r="H43" s="74" t="s">
        <v>2817</v>
      </c>
      <c r="I43" s="75" t="s">
        <v>130</v>
      </c>
      <c r="J43" s="82">
        <v>260</v>
      </c>
      <c r="K43" s="82">
        <v>6</v>
      </c>
      <c r="L43" s="82">
        <v>15</v>
      </c>
      <c r="M43" s="75" t="s">
        <v>2797</v>
      </c>
      <c r="N43" s="74" t="s">
        <v>2818</v>
      </c>
    </row>
    <row r="44" spans="7:14">
      <c r="G44" s="71" t="s">
        <v>309</v>
      </c>
      <c r="H44" s="74" t="s">
        <v>2819</v>
      </c>
      <c r="I44" s="75" t="s">
        <v>130</v>
      </c>
      <c r="J44" s="82">
        <v>270</v>
      </c>
      <c r="K44" s="82">
        <v>5</v>
      </c>
      <c r="L44" s="82">
        <v>15</v>
      </c>
      <c r="M44" s="75" t="s">
        <v>2820</v>
      </c>
      <c r="N44" s="74" t="s">
        <v>2821</v>
      </c>
    </row>
    <row r="45" spans="7:14">
      <c r="G45" s="71" t="s">
        <v>412</v>
      </c>
      <c r="H45" s="74" t="s">
        <v>2822</v>
      </c>
      <c r="I45" s="75" t="s">
        <v>413</v>
      </c>
      <c r="J45" s="82">
        <v>270</v>
      </c>
      <c r="K45" s="82">
        <v>5</v>
      </c>
      <c r="L45" s="82">
        <v>15</v>
      </c>
      <c r="M45" s="75" t="s">
        <v>2820</v>
      </c>
      <c r="N45" s="74" t="s">
        <v>2823</v>
      </c>
    </row>
    <row r="46" spans="7:14">
      <c r="G46" s="71" t="s">
        <v>489</v>
      </c>
      <c r="H46" s="74" t="s">
        <v>2824</v>
      </c>
      <c r="I46" s="75" t="s">
        <v>109</v>
      </c>
      <c r="J46" s="82">
        <v>270</v>
      </c>
      <c r="K46" s="82">
        <v>5</v>
      </c>
      <c r="L46" s="82">
        <v>12</v>
      </c>
      <c r="M46" s="75" t="s">
        <v>2820</v>
      </c>
      <c r="N46" s="74" t="s">
        <v>2825</v>
      </c>
    </row>
    <row r="47" spans="7:14">
      <c r="G47" s="71" t="s">
        <v>1086</v>
      </c>
      <c r="H47" s="74" t="s">
        <v>2826</v>
      </c>
      <c r="I47" s="75" t="s">
        <v>425</v>
      </c>
      <c r="J47" s="82">
        <v>275</v>
      </c>
      <c r="K47" s="82">
        <v>5</v>
      </c>
      <c r="L47" s="82">
        <v>15</v>
      </c>
      <c r="M47" s="75" t="s">
        <v>2815</v>
      </c>
      <c r="N47" s="74" t="s">
        <v>2827</v>
      </c>
    </row>
    <row r="48" spans="7:14">
      <c r="G48" s="71" t="s">
        <v>899</v>
      </c>
      <c r="H48" s="74" t="s">
        <v>2828</v>
      </c>
      <c r="I48" s="75" t="s">
        <v>900</v>
      </c>
      <c r="J48" s="82">
        <v>275</v>
      </c>
      <c r="K48" s="82">
        <v>5</v>
      </c>
      <c r="L48" s="82">
        <v>15</v>
      </c>
      <c r="M48" s="75" t="s">
        <v>2815</v>
      </c>
      <c r="N48" s="74" t="s">
        <v>2829</v>
      </c>
    </row>
    <row r="49" spans="7:14">
      <c r="G49" s="71" t="s">
        <v>1376</v>
      </c>
      <c r="H49" s="74" t="s">
        <v>2830</v>
      </c>
      <c r="I49" s="75" t="s">
        <v>1377</v>
      </c>
      <c r="J49" s="82">
        <v>270</v>
      </c>
      <c r="K49" s="82">
        <v>5</v>
      </c>
      <c r="L49" s="82">
        <v>15</v>
      </c>
      <c r="M49" s="75" t="s">
        <v>2820</v>
      </c>
      <c r="N49" s="74" t="s">
        <v>2831</v>
      </c>
    </row>
    <row r="50" spans="7:14">
      <c r="G50" s="71" t="s">
        <v>356</v>
      </c>
      <c r="H50" s="74" t="s">
        <v>2832</v>
      </c>
      <c r="I50" s="75" t="s">
        <v>357</v>
      </c>
      <c r="J50" s="82">
        <v>275</v>
      </c>
      <c r="K50" s="82">
        <v>5</v>
      </c>
      <c r="L50" s="82">
        <v>15</v>
      </c>
      <c r="M50" s="75" t="s">
        <v>2833</v>
      </c>
      <c r="N50" s="74" t="s">
        <v>2834</v>
      </c>
    </row>
    <row r="51" spans="7:14" ht="31.2" customHeight="1">
      <c r="G51" s="71" t="s">
        <v>1388</v>
      </c>
      <c r="H51" s="74" t="s">
        <v>2835</v>
      </c>
      <c r="I51" s="75" t="s">
        <v>1389</v>
      </c>
      <c r="J51" s="82">
        <v>275</v>
      </c>
      <c r="K51" s="82">
        <v>5</v>
      </c>
      <c r="L51" s="82">
        <v>15</v>
      </c>
      <c r="M51" s="75" t="s">
        <v>2833</v>
      </c>
      <c r="N51" s="74" t="s">
        <v>2836</v>
      </c>
    </row>
    <row r="52" spans="7:14">
      <c r="G52" s="71" t="s">
        <v>561</v>
      </c>
      <c r="H52" s="74" t="s">
        <v>2837</v>
      </c>
      <c r="I52" s="75" t="s">
        <v>562</v>
      </c>
      <c r="J52" s="82">
        <v>275</v>
      </c>
      <c r="K52" s="82">
        <v>5</v>
      </c>
      <c r="L52" s="82">
        <v>15</v>
      </c>
      <c r="M52" s="75" t="s">
        <v>2833</v>
      </c>
      <c r="N52" s="74" t="s">
        <v>2838</v>
      </c>
    </row>
    <row r="53" spans="7:14">
      <c r="G53" s="71" t="s">
        <v>179</v>
      </c>
      <c r="H53" s="74" t="s">
        <v>2839</v>
      </c>
      <c r="I53" s="75" t="s">
        <v>180</v>
      </c>
      <c r="J53" s="82">
        <v>265</v>
      </c>
      <c r="K53" s="82">
        <v>6</v>
      </c>
      <c r="L53" s="82">
        <v>12</v>
      </c>
      <c r="M53" s="75" t="s">
        <v>2807</v>
      </c>
      <c r="N53" s="74" t="s">
        <v>2840</v>
      </c>
    </row>
    <row r="54" spans="7:14" ht="31.2" customHeight="1">
      <c r="G54" s="71" t="s">
        <v>362</v>
      </c>
      <c r="H54" s="74" t="s">
        <v>2841</v>
      </c>
      <c r="I54" s="75" t="s">
        <v>180</v>
      </c>
      <c r="J54" s="82">
        <v>275</v>
      </c>
      <c r="K54" s="82">
        <v>5</v>
      </c>
      <c r="L54" s="82">
        <v>12</v>
      </c>
      <c r="M54" s="75" t="s">
        <v>2833</v>
      </c>
      <c r="N54" s="74" t="s">
        <v>2842</v>
      </c>
    </row>
    <row r="55" spans="7:14">
      <c r="G55" s="71" t="s">
        <v>140</v>
      </c>
      <c r="H55" s="74" t="s">
        <v>2843</v>
      </c>
      <c r="I55" s="75" t="s">
        <v>38</v>
      </c>
      <c r="J55" s="82">
        <v>265</v>
      </c>
      <c r="K55" s="82">
        <v>6</v>
      </c>
      <c r="L55" s="82">
        <v>0</v>
      </c>
      <c r="M55" s="75" t="s">
        <v>2844</v>
      </c>
      <c r="N55" s="74" t="s">
        <v>2845</v>
      </c>
    </row>
    <row r="56" spans="7:14">
      <c r="G56" s="71" t="s">
        <v>474</v>
      </c>
      <c r="H56" s="74" t="s">
        <v>2846</v>
      </c>
      <c r="I56" s="75" t="s">
        <v>38</v>
      </c>
      <c r="J56" s="82">
        <v>275</v>
      </c>
      <c r="K56" s="82">
        <v>5</v>
      </c>
      <c r="L56" s="82">
        <v>0</v>
      </c>
      <c r="M56" s="75" t="s">
        <v>2833</v>
      </c>
      <c r="N56" s="74" t="s">
        <v>2847</v>
      </c>
    </row>
    <row r="57" spans="7:14" ht="31.2" customHeight="1">
      <c r="G57" s="71" t="s">
        <v>321</v>
      </c>
      <c r="H57" s="74" t="s">
        <v>2848</v>
      </c>
      <c r="I57" s="75" t="s">
        <v>322</v>
      </c>
      <c r="J57" s="82">
        <v>280</v>
      </c>
      <c r="K57" s="82">
        <v>5</v>
      </c>
      <c r="L57" s="82">
        <v>15</v>
      </c>
      <c r="M57" s="75" t="s">
        <v>2849</v>
      </c>
      <c r="N57" s="74" t="s">
        <v>2850</v>
      </c>
    </row>
    <row r="58" spans="7:14" ht="31.2" customHeight="1">
      <c r="G58" s="71" t="s">
        <v>550</v>
      </c>
      <c r="H58" s="74" t="s">
        <v>2851</v>
      </c>
      <c r="I58" s="75" t="s">
        <v>322</v>
      </c>
      <c r="J58" s="82">
        <v>285</v>
      </c>
      <c r="K58" s="82">
        <v>4</v>
      </c>
      <c r="L58" s="82">
        <v>15</v>
      </c>
      <c r="M58" s="75" t="s">
        <v>2852</v>
      </c>
      <c r="N58" s="74" t="s">
        <v>2853</v>
      </c>
    </row>
    <row r="59" spans="7:14">
      <c r="G59" s="71" t="s">
        <v>152</v>
      </c>
      <c r="H59" s="74" t="s">
        <v>2854</v>
      </c>
      <c r="I59" s="75" t="s">
        <v>38</v>
      </c>
      <c r="J59" s="82">
        <v>265</v>
      </c>
      <c r="K59" s="82">
        <v>6</v>
      </c>
      <c r="L59" s="82">
        <v>0</v>
      </c>
      <c r="M59" s="75" t="s">
        <v>2844</v>
      </c>
      <c r="N59" s="74" t="s">
        <v>2855</v>
      </c>
    </row>
    <row r="60" spans="7:14">
      <c r="G60" s="71" t="s">
        <v>335</v>
      </c>
      <c r="H60" s="74" t="s">
        <v>2856</v>
      </c>
      <c r="I60" s="75" t="s">
        <v>38</v>
      </c>
      <c r="J60" s="82">
        <v>275</v>
      </c>
      <c r="K60" s="82">
        <v>5</v>
      </c>
      <c r="L60" s="82">
        <v>0</v>
      </c>
      <c r="M60" s="75" t="s">
        <v>2833</v>
      </c>
      <c r="N60" s="74" t="s">
        <v>2857</v>
      </c>
    </row>
    <row r="61" spans="7:14" ht="31.2" customHeight="1">
      <c r="G61" s="71" t="s">
        <v>1427</v>
      </c>
      <c r="H61" s="74" t="s">
        <v>2858</v>
      </c>
      <c r="I61" s="75" t="s">
        <v>413</v>
      </c>
      <c r="J61" s="82">
        <v>280</v>
      </c>
      <c r="K61" s="82">
        <v>4</v>
      </c>
      <c r="L61" s="82">
        <v>12</v>
      </c>
      <c r="M61" s="75" t="s">
        <v>2849</v>
      </c>
      <c r="N61" s="74" t="s">
        <v>2859</v>
      </c>
    </row>
    <row r="62" spans="7:14">
      <c r="G62" s="71" t="s">
        <v>534</v>
      </c>
      <c r="H62" s="74" t="s">
        <v>2860</v>
      </c>
      <c r="I62" s="75" t="s">
        <v>19</v>
      </c>
      <c r="J62" s="82">
        <v>255</v>
      </c>
      <c r="K62" s="82">
        <v>6</v>
      </c>
      <c r="L62" s="82">
        <v>0</v>
      </c>
      <c r="M62" s="75" t="s">
        <v>2810</v>
      </c>
      <c r="N62" s="74" t="s">
        <v>2861</v>
      </c>
    </row>
    <row r="63" spans="7:14">
      <c r="G63" s="71" t="s">
        <v>191</v>
      </c>
      <c r="H63" s="74" t="s">
        <v>2862</v>
      </c>
      <c r="I63" s="75" t="s">
        <v>19</v>
      </c>
      <c r="J63" s="82">
        <v>260</v>
      </c>
      <c r="K63" s="82">
        <v>5</v>
      </c>
      <c r="L63" s="82">
        <v>0</v>
      </c>
      <c r="M63" s="75" t="s">
        <v>2810</v>
      </c>
      <c r="N63" s="74" t="s">
        <v>2863</v>
      </c>
    </row>
    <row r="64" spans="7:14" ht="31.2" customHeight="1">
      <c r="G64" s="71" t="s">
        <v>279</v>
      </c>
      <c r="H64" s="74" t="s">
        <v>2864</v>
      </c>
      <c r="I64" s="75" t="s">
        <v>19</v>
      </c>
      <c r="J64" s="82">
        <v>265</v>
      </c>
      <c r="K64" s="82">
        <v>5</v>
      </c>
      <c r="L64" s="82">
        <v>0</v>
      </c>
      <c r="M64" s="75" t="s">
        <v>2865</v>
      </c>
      <c r="N64" s="74" t="s">
        <v>2866</v>
      </c>
    </row>
    <row r="65" spans="7:14">
      <c r="G65" s="71" t="s">
        <v>197</v>
      </c>
      <c r="H65" s="74" t="s">
        <v>2867</v>
      </c>
      <c r="I65" s="75" t="s">
        <v>19</v>
      </c>
      <c r="J65" s="82">
        <v>270</v>
      </c>
      <c r="K65" s="82">
        <v>5</v>
      </c>
      <c r="L65" s="82">
        <v>0</v>
      </c>
      <c r="M65" s="75" t="s">
        <v>2865</v>
      </c>
      <c r="N65" s="74" t="s">
        <v>2868</v>
      </c>
    </row>
    <row r="66" spans="7:14">
      <c r="G66" s="71" t="s">
        <v>185</v>
      </c>
      <c r="H66" s="74" t="s">
        <v>2869</v>
      </c>
      <c r="I66" s="75" t="s">
        <v>71</v>
      </c>
      <c r="J66" s="82">
        <v>270</v>
      </c>
      <c r="K66" s="82">
        <v>0</v>
      </c>
      <c r="L66" s="82">
        <v>20</v>
      </c>
      <c r="M66" s="75" t="s">
        <v>2804</v>
      </c>
      <c r="N66" s="74" t="s">
        <v>2870</v>
      </c>
    </row>
    <row r="67" spans="7:14">
      <c r="G67" s="71" t="s">
        <v>52</v>
      </c>
      <c r="H67" s="74" t="s">
        <v>2871</v>
      </c>
      <c r="I67" s="75" t="s">
        <v>53</v>
      </c>
      <c r="J67" s="82">
        <v>270</v>
      </c>
      <c r="K67" s="82">
        <v>6</v>
      </c>
      <c r="L67" s="82">
        <v>15</v>
      </c>
      <c r="M67" s="75" t="s">
        <v>2844</v>
      </c>
      <c r="N67" s="74" t="s">
        <v>2872</v>
      </c>
    </row>
    <row r="68" spans="7:14">
      <c r="G68" s="71" t="s">
        <v>228</v>
      </c>
      <c r="H68" s="74" t="s">
        <v>2873</v>
      </c>
      <c r="I68" s="75" t="s">
        <v>229</v>
      </c>
      <c r="J68" s="82">
        <v>270</v>
      </c>
      <c r="K68" s="82">
        <v>5</v>
      </c>
      <c r="L68" s="82">
        <v>15</v>
      </c>
      <c r="M68" s="75" t="s">
        <v>2844</v>
      </c>
      <c r="N68" s="74" t="s">
        <v>2874</v>
      </c>
    </row>
    <row r="69" spans="7:14">
      <c r="G69" s="71" t="s">
        <v>678</v>
      </c>
      <c r="H69" s="74" t="s">
        <v>2875</v>
      </c>
      <c r="I69" s="75" t="s">
        <v>159</v>
      </c>
      <c r="J69" s="82">
        <v>270</v>
      </c>
      <c r="K69" s="82">
        <v>5</v>
      </c>
      <c r="L69" s="82">
        <v>15</v>
      </c>
      <c r="M69" s="75" t="s">
        <v>2844</v>
      </c>
      <c r="N69" s="74" t="s">
        <v>2876</v>
      </c>
    </row>
    <row r="70" spans="7:14">
      <c r="G70" s="71" t="s">
        <v>214</v>
      </c>
      <c r="H70" s="74" t="s">
        <v>2877</v>
      </c>
      <c r="I70" s="75" t="s">
        <v>101</v>
      </c>
      <c r="J70" s="82">
        <v>270</v>
      </c>
      <c r="K70" s="82">
        <v>5</v>
      </c>
      <c r="L70" s="82">
        <v>15</v>
      </c>
      <c r="M70" s="75" t="s">
        <v>2844</v>
      </c>
      <c r="N70" s="74" t="s">
        <v>2878</v>
      </c>
    </row>
    <row r="71" spans="7:14">
      <c r="G71" s="71" t="s">
        <v>315</v>
      </c>
      <c r="H71" s="74" t="s">
        <v>2879</v>
      </c>
      <c r="I71" s="75" t="s">
        <v>316</v>
      </c>
      <c r="J71" s="82">
        <v>275</v>
      </c>
      <c r="K71" s="82">
        <v>4</v>
      </c>
      <c r="L71" s="82">
        <v>15</v>
      </c>
      <c r="M71" s="75" t="s">
        <v>2833</v>
      </c>
      <c r="N71" s="74" t="s">
        <v>2880</v>
      </c>
    </row>
    <row r="72" spans="7:14">
      <c r="G72" s="71" t="s">
        <v>250</v>
      </c>
      <c r="H72" s="74" t="s">
        <v>2881</v>
      </c>
      <c r="I72" s="75" t="s">
        <v>251</v>
      </c>
      <c r="J72" s="82">
        <v>275</v>
      </c>
      <c r="K72" s="82">
        <v>5</v>
      </c>
      <c r="L72" s="82">
        <v>1</v>
      </c>
      <c r="M72" s="75" t="s">
        <v>2833</v>
      </c>
      <c r="N72" s="74" t="s">
        <v>2882</v>
      </c>
    </row>
    <row r="73" spans="7:14">
      <c r="G73" s="71" t="s">
        <v>107</v>
      </c>
      <c r="H73" s="74" t="s">
        <v>2883</v>
      </c>
      <c r="I73" s="75" t="s">
        <v>109</v>
      </c>
      <c r="J73" s="82">
        <v>270</v>
      </c>
      <c r="K73" s="82">
        <v>6</v>
      </c>
      <c r="L73" s="82">
        <v>15</v>
      </c>
      <c r="M73" s="75" t="s">
        <v>2807</v>
      </c>
      <c r="N73" s="74" t="s">
        <v>2884</v>
      </c>
    </row>
    <row r="74" spans="7:14">
      <c r="G74" s="71" t="s">
        <v>86</v>
      </c>
      <c r="H74" s="74" t="s">
        <v>2885</v>
      </c>
      <c r="I74" s="75" t="s">
        <v>38</v>
      </c>
      <c r="J74" s="82">
        <v>265</v>
      </c>
      <c r="K74" s="82">
        <v>12</v>
      </c>
      <c r="L74" s="82">
        <v>0</v>
      </c>
      <c r="M74" s="75" t="s">
        <v>2777</v>
      </c>
      <c r="N74" s="74" t="s">
        <v>2886</v>
      </c>
    </row>
    <row r="75" spans="7:14">
      <c r="G75" s="71" t="s">
        <v>624</v>
      </c>
      <c r="H75" s="74" t="s">
        <v>2887</v>
      </c>
      <c r="I75" s="75" t="s">
        <v>38</v>
      </c>
      <c r="J75" s="82">
        <v>275</v>
      </c>
      <c r="K75" s="82">
        <v>12</v>
      </c>
      <c r="L75" s="82">
        <v>0</v>
      </c>
      <c r="M75" s="75" t="s">
        <v>2807</v>
      </c>
      <c r="N75" s="74" t="s">
        <v>2888</v>
      </c>
    </row>
    <row r="76" spans="7:14">
      <c r="G76" s="71" t="s">
        <v>593</v>
      </c>
      <c r="H76" s="74" t="s">
        <v>2889</v>
      </c>
      <c r="I76" s="75" t="s">
        <v>71</v>
      </c>
      <c r="J76" s="82">
        <v>280</v>
      </c>
      <c r="K76" s="82">
        <v>6</v>
      </c>
      <c r="L76" s="82">
        <v>15</v>
      </c>
      <c r="M76" s="75" t="s">
        <v>2890</v>
      </c>
      <c r="N76" s="74" t="s">
        <v>2891</v>
      </c>
    </row>
    <row r="77" spans="7:14">
      <c r="G77" s="71" t="s">
        <v>158</v>
      </c>
      <c r="H77" s="74" t="s">
        <v>2892</v>
      </c>
      <c r="I77" s="75" t="s">
        <v>159</v>
      </c>
      <c r="J77" s="82">
        <v>270</v>
      </c>
      <c r="K77" s="82">
        <v>6</v>
      </c>
      <c r="L77" s="82">
        <v>15</v>
      </c>
      <c r="M77" s="75" t="s">
        <v>2844</v>
      </c>
      <c r="N77" s="74" t="s">
        <v>2893</v>
      </c>
    </row>
    <row r="78" spans="7:14">
      <c r="G78" s="71" t="s">
        <v>239</v>
      </c>
      <c r="H78" s="74" t="s">
        <v>2894</v>
      </c>
      <c r="I78" s="75" t="s">
        <v>159</v>
      </c>
      <c r="J78" s="82">
        <v>295</v>
      </c>
      <c r="K78" s="82">
        <v>20</v>
      </c>
      <c r="L78" s="82">
        <v>15</v>
      </c>
      <c r="M78" s="75" t="s">
        <v>2774</v>
      </c>
      <c r="N78" s="74" t="s">
        <v>2895</v>
      </c>
    </row>
    <row r="79" spans="7:14">
      <c r="G79" s="71" t="s">
        <v>328</v>
      </c>
      <c r="H79" s="74" t="s">
        <v>2896</v>
      </c>
      <c r="I79" s="75" t="s">
        <v>329</v>
      </c>
      <c r="J79" s="82">
        <v>300</v>
      </c>
      <c r="K79" s="82">
        <v>20</v>
      </c>
      <c r="L79" s="82">
        <v>15</v>
      </c>
      <c r="M79" s="75" t="s">
        <v>2897</v>
      </c>
      <c r="N79" s="74" t="s">
        <v>2898</v>
      </c>
    </row>
    <row r="80" spans="7:14">
      <c r="G80" s="71" t="s">
        <v>1348</v>
      </c>
      <c r="H80" s="74" t="s">
        <v>2899</v>
      </c>
      <c r="I80" s="75" t="s">
        <v>900</v>
      </c>
      <c r="J80" s="82">
        <v>275</v>
      </c>
      <c r="K80" s="82">
        <v>0</v>
      </c>
      <c r="L80" s="82">
        <v>20</v>
      </c>
      <c r="M80" s="75" t="s">
        <v>2713</v>
      </c>
      <c r="N80" s="74" t="s">
        <v>2900</v>
      </c>
    </row>
    <row r="81" spans="7:14">
      <c r="G81" s="71" t="s">
        <v>1383</v>
      </c>
      <c r="H81" s="74" t="s">
        <v>2901</v>
      </c>
      <c r="I81" s="75" t="s">
        <v>1377</v>
      </c>
      <c r="J81" s="82">
        <v>275</v>
      </c>
      <c r="K81" s="82">
        <v>0</v>
      </c>
      <c r="L81" s="82">
        <v>20</v>
      </c>
      <c r="M81" s="75" t="s">
        <v>2713</v>
      </c>
      <c r="N81" s="74" t="s">
        <v>2902</v>
      </c>
    </row>
    <row r="82" spans="7:14">
      <c r="G82" s="71" t="s">
        <v>1399</v>
      </c>
      <c r="H82" s="74" t="s">
        <v>2903</v>
      </c>
      <c r="I82" s="75" t="s">
        <v>1389</v>
      </c>
      <c r="J82" s="82">
        <v>290</v>
      </c>
      <c r="K82" s="82">
        <v>0</v>
      </c>
      <c r="L82" s="82">
        <v>20</v>
      </c>
      <c r="M82" s="75" t="s">
        <v>2705</v>
      </c>
      <c r="N82" s="74" t="s">
        <v>2904</v>
      </c>
    </row>
    <row r="83" spans="7:14" ht="31.2" customHeight="1">
      <c r="G83" s="71" t="s">
        <v>2039</v>
      </c>
      <c r="H83" s="74" t="s">
        <v>2905</v>
      </c>
      <c r="I83" s="75" t="s">
        <v>71</v>
      </c>
      <c r="J83" s="82">
        <v>280</v>
      </c>
      <c r="K83" s="82">
        <v>10</v>
      </c>
      <c r="L83" s="82">
        <v>20</v>
      </c>
      <c r="M83" s="75" t="s">
        <v>2774</v>
      </c>
      <c r="N83" s="74" t="s">
        <v>2906</v>
      </c>
    </row>
    <row r="84" spans="7:14" ht="31.2" customHeight="1">
      <c r="G84" s="71" t="s">
        <v>392</v>
      </c>
      <c r="H84" s="74" t="s">
        <v>2907</v>
      </c>
      <c r="I84" s="75" t="s">
        <v>130</v>
      </c>
      <c r="J84" s="82">
        <v>270</v>
      </c>
      <c r="K84" s="82">
        <v>6</v>
      </c>
      <c r="L84" s="82">
        <v>15</v>
      </c>
      <c r="M84" s="75" t="s">
        <v>2820</v>
      </c>
      <c r="N84" s="74" t="s">
        <v>2908</v>
      </c>
    </row>
    <row r="85" spans="7:14" ht="31.2" customHeight="1">
      <c r="G85" s="71" t="s">
        <v>468</v>
      </c>
      <c r="H85" s="74" t="s">
        <v>2909</v>
      </c>
      <c r="I85" s="75" t="s">
        <v>94</v>
      </c>
      <c r="J85" s="82">
        <v>275</v>
      </c>
      <c r="K85" s="82">
        <v>6</v>
      </c>
      <c r="L85" s="82">
        <v>15</v>
      </c>
      <c r="M85" s="75" t="s">
        <v>2833</v>
      </c>
      <c r="N85" s="74" t="s">
        <v>2910</v>
      </c>
    </row>
    <row r="86" spans="7:14">
      <c r="G86" s="71" t="s">
        <v>509</v>
      </c>
      <c r="H86" s="74" t="s">
        <v>2911</v>
      </c>
      <c r="I86" s="75" t="s">
        <v>71</v>
      </c>
      <c r="J86" s="82">
        <v>295</v>
      </c>
      <c r="K86" s="82">
        <v>20</v>
      </c>
      <c r="L86" s="82">
        <v>15</v>
      </c>
      <c r="M86" s="75" t="s">
        <v>2774</v>
      </c>
      <c r="N86" s="74" t="s">
        <v>2912</v>
      </c>
    </row>
    <row r="87" spans="7:14" ht="31.2" customHeight="1">
      <c r="G87" s="71" t="s">
        <v>503</v>
      </c>
      <c r="H87" s="74" t="s">
        <v>2913</v>
      </c>
      <c r="I87" s="75" t="s">
        <v>229</v>
      </c>
      <c r="J87" s="82">
        <v>285</v>
      </c>
      <c r="K87" s="82">
        <v>6</v>
      </c>
      <c r="L87" s="82">
        <v>15</v>
      </c>
      <c r="M87" s="75" t="s">
        <v>2849</v>
      </c>
      <c r="N87" s="74" t="s">
        <v>2914</v>
      </c>
    </row>
    <row r="88" spans="7:14">
      <c r="G88" s="71" t="s">
        <v>520</v>
      </c>
      <c r="H88" s="74" t="s">
        <v>2915</v>
      </c>
      <c r="I88" s="75" t="s">
        <v>71</v>
      </c>
      <c r="J88" s="82">
        <v>295</v>
      </c>
      <c r="K88" s="82">
        <v>0</v>
      </c>
      <c r="L88" s="82">
        <v>25</v>
      </c>
      <c r="M88" s="75" t="s">
        <v>2774</v>
      </c>
      <c r="N88" s="74" t="s">
        <v>2916</v>
      </c>
    </row>
    <row r="89" spans="7:14">
      <c r="G89" s="71" t="s">
        <v>833</v>
      </c>
      <c r="H89" s="74" t="s">
        <v>2917</v>
      </c>
      <c r="I89" s="75" t="s">
        <v>94</v>
      </c>
      <c r="J89" s="82">
        <v>265</v>
      </c>
      <c r="K89" s="82">
        <v>6</v>
      </c>
      <c r="L89" s="82">
        <v>15</v>
      </c>
      <c r="M89" s="75" t="s">
        <v>2820</v>
      </c>
      <c r="N89" s="74" t="s">
        <v>2918</v>
      </c>
    </row>
    <row r="90" spans="7:14">
      <c r="G90" s="71" t="s">
        <v>863</v>
      </c>
      <c r="H90" s="74" t="s">
        <v>2919</v>
      </c>
      <c r="I90" s="75" t="s">
        <v>101</v>
      </c>
      <c r="J90" s="82">
        <v>265</v>
      </c>
      <c r="K90" s="82">
        <v>6</v>
      </c>
      <c r="L90" s="82">
        <v>15</v>
      </c>
      <c r="M90" s="75" t="s">
        <v>2844</v>
      </c>
      <c r="N90" s="74" t="s">
        <v>2920</v>
      </c>
    </row>
    <row r="91" spans="7:14">
      <c r="G91" s="71" t="s">
        <v>857</v>
      </c>
      <c r="H91" s="74" t="s">
        <v>2921</v>
      </c>
      <c r="I91" s="75" t="s">
        <v>71</v>
      </c>
      <c r="J91" s="82">
        <v>285</v>
      </c>
      <c r="K91" s="82">
        <v>0</v>
      </c>
      <c r="L91" s="82">
        <v>25</v>
      </c>
      <c r="M91" s="75" t="s">
        <v>2815</v>
      </c>
      <c r="N91" s="74" t="s">
        <v>2922</v>
      </c>
    </row>
    <row r="92" spans="7:14">
      <c r="G92" s="71" t="s">
        <v>877</v>
      </c>
      <c r="H92" s="74" t="s">
        <v>2923</v>
      </c>
      <c r="I92" s="75" t="s">
        <v>53</v>
      </c>
      <c r="J92" s="82">
        <v>280</v>
      </c>
      <c r="K92" s="82">
        <v>6</v>
      </c>
      <c r="L92" s="82">
        <v>20</v>
      </c>
      <c r="M92" s="75" t="s">
        <v>2820</v>
      </c>
      <c r="N92" s="74" t="s">
        <v>2924</v>
      </c>
    </row>
    <row r="93" spans="7:14" ht="31.2" customHeight="1">
      <c r="G93" s="71" t="s">
        <v>927</v>
      </c>
      <c r="H93" s="74" t="s">
        <v>2925</v>
      </c>
      <c r="I93" s="75" t="s">
        <v>109</v>
      </c>
      <c r="J93" s="82">
        <v>270</v>
      </c>
      <c r="K93" s="82">
        <v>6</v>
      </c>
      <c r="L93" s="82">
        <v>12</v>
      </c>
      <c r="M93" s="75" t="s">
        <v>2820</v>
      </c>
      <c r="N93" s="74" t="s">
        <v>2926</v>
      </c>
    </row>
    <row r="94" spans="7:14" ht="31.2" customHeight="1">
      <c r="G94" s="71" t="s">
        <v>1010</v>
      </c>
      <c r="H94" s="74" t="s">
        <v>2927</v>
      </c>
      <c r="I94" s="75" t="s">
        <v>1011</v>
      </c>
      <c r="J94" s="82">
        <v>300</v>
      </c>
      <c r="K94" s="82">
        <v>20</v>
      </c>
      <c r="L94" s="82">
        <v>15</v>
      </c>
      <c r="M94" s="75" t="s">
        <v>2897</v>
      </c>
      <c r="N94" s="74" t="s">
        <v>2928</v>
      </c>
    </row>
    <row r="95" spans="7:14" ht="31.2" customHeight="1">
      <c r="G95" s="71" t="s">
        <v>2082</v>
      </c>
      <c r="H95" s="74" t="s">
        <v>2929</v>
      </c>
      <c r="I95" s="75" t="s">
        <v>101</v>
      </c>
      <c r="J95" s="82">
        <v>280</v>
      </c>
      <c r="K95" s="82">
        <v>20</v>
      </c>
      <c r="L95" s="82">
        <v>0</v>
      </c>
      <c r="M95" s="75" t="s">
        <v>2790</v>
      </c>
      <c r="N95" s="74" t="s">
        <v>2930</v>
      </c>
    </row>
    <row r="96" spans="7:14">
      <c r="G96" s="71" t="s">
        <v>842</v>
      </c>
      <c r="H96" s="74" t="s">
        <v>2931</v>
      </c>
      <c r="I96" s="75" t="s">
        <v>109</v>
      </c>
      <c r="J96" s="82">
        <v>265</v>
      </c>
      <c r="K96" s="82">
        <v>6</v>
      </c>
      <c r="L96" s="82">
        <v>15</v>
      </c>
      <c r="M96" s="75" t="s">
        <v>2844</v>
      </c>
      <c r="N96" s="74" t="s">
        <v>2932</v>
      </c>
    </row>
    <row r="97" spans="7:14">
      <c r="G97" s="71" t="s">
        <v>852</v>
      </c>
      <c r="H97" s="74" t="s">
        <v>2933</v>
      </c>
      <c r="I97" s="75" t="s">
        <v>109</v>
      </c>
      <c r="J97" s="82">
        <v>275</v>
      </c>
      <c r="K97" s="82">
        <v>5</v>
      </c>
      <c r="L97" s="82">
        <v>15</v>
      </c>
      <c r="M97" s="75" t="s">
        <v>2820</v>
      </c>
      <c r="N97" s="74" t="s">
        <v>2934</v>
      </c>
    </row>
    <row r="98" spans="7:14">
      <c r="G98" s="71" t="s">
        <v>424</v>
      </c>
      <c r="H98" s="74" t="s">
        <v>2935</v>
      </c>
      <c r="I98" s="75" t="s">
        <v>425</v>
      </c>
      <c r="J98" s="82">
        <v>275</v>
      </c>
      <c r="K98" s="82">
        <v>0</v>
      </c>
      <c r="L98" s="82">
        <v>20</v>
      </c>
      <c r="M98" s="75" t="s">
        <v>2713</v>
      </c>
      <c r="N98" s="74" t="s">
        <v>2936</v>
      </c>
    </row>
    <row r="99" spans="7:14">
      <c r="G99" s="71" t="s">
        <v>1751</v>
      </c>
      <c r="H99" s="74" t="s">
        <v>2937</v>
      </c>
      <c r="I99" s="75" t="s">
        <v>109</v>
      </c>
      <c r="J99" s="82">
        <v>280</v>
      </c>
      <c r="K99" s="82">
        <v>0</v>
      </c>
      <c r="L99" s="82">
        <v>20</v>
      </c>
      <c r="M99" s="75" t="s">
        <v>2699</v>
      </c>
      <c r="N99" s="74" t="s">
        <v>2938</v>
      </c>
    </row>
    <row r="100" spans="7:14">
      <c r="G100" s="71" t="s">
        <v>2085</v>
      </c>
      <c r="H100" s="74" t="s">
        <v>2939</v>
      </c>
      <c r="I100" s="75" t="s">
        <v>94</v>
      </c>
      <c r="J100" s="82">
        <v>295</v>
      </c>
      <c r="K100" s="82">
        <v>0</v>
      </c>
      <c r="L100" s="82">
        <v>25</v>
      </c>
      <c r="M100" s="75" t="s">
        <v>2774</v>
      </c>
      <c r="N100" s="74" t="s">
        <v>2940</v>
      </c>
    </row>
  </sheetData>
  <mergeCells count="6">
    <mergeCell ref="A1:N1"/>
    <mergeCell ref="G3:N3"/>
    <mergeCell ref="A2:N2"/>
    <mergeCell ref="A19:E19"/>
    <mergeCell ref="A11:E11"/>
    <mergeCell ref="A3:E3"/>
  </mergeCells>
  <phoneticPr fontId="24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20"/>
  <sheetViews>
    <sheetView zoomScaleNormal="100" zoomScalePageLayoutView="60" workbookViewId="0"/>
  </sheetViews>
  <sheetFormatPr defaultColWidth="8.59765625" defaultRowHeight="17.399999999999999"/>
  <cols>
    <col min="1" max="1" width="17.19921875" customWidth="1"/>
    <col min="2" max="2" width="9.09765625" customWidth="1"/>
    <col min="3" max="3" width="63.296875" customWidth="1"/>
    <col min="4" max="4" width="45.296875" customWidth="1"/>
  </cols>
  <sheetData>
    <row r="2" spans="1:4" ht="36.75" customHeight="1">
      <c r="A2" s="55" t="s">
        <v>1609</v>
      </c>
      <c r="B2" s="55" t="s">
        <v>1610</v>
      </c>
      <c r="C2" s="58" t="s">
        <v>1611</v>
      </c>
      <c r="D2" s="58" t="s">
        <v>1612</v>
      </c>
    </row>
    <row r="3" spans="1:4" ht="17.25" customHeight="1">
      <c r="A3" s="59" t="s">
        <v>0</v>
      </c>
      <c r="B3" s="59" t="s">
        <v>2941</v>
      </c>
      <c r="C3" s="60" t="s">
        <v>1614</v>
      </c>
      <c r="D3" s="60" t="s">
        <v>2942</v>
      </c>
    </row>
    <row r="4" spans="1:4" ht="17.25" customHeight="1">
      <c r="A4" s="59" t="s">
        <v>2191</v>
      </c>
      <c r="B4" s="59" t="s">
        <v>1616</v>
      </c>
      <c r="C4" s="60" t="s">
        <v>2943</v>
      </c>
      <c r="D4" s="60" t="s">
        <v>2944</v>
      </c>
    </row>
    <row r="5" spans="1:4" ht="17.25" customHeight="1">
      <c r="A5" s="59" t="s">
        <v>2192</v>
      </c>
      <c r="B5" s="59" t="s">
        <v>1616</v>
      </c>
      <c r="C5" s="60" t="s">
        <v>2945</v>
      </c>
      <c r="D5" s="60" t="s">
        <v>2946</v>
      </c>
    </row>
    <row r="6" spans="1:4" ht="17.25" customHeight="1">
      <c r="A6" s="59" t="s">
        <v>1698</v>
      </c>
      <c r="B6" s="59" t="s">
        <v>1640</v>
      </c>
      <c r="C6" s="60" t="s">
        <v>2947</v>
      </c>
      <c r="D6" s="60" t="s">
        <v>2948</v>
      </c>
    </row>
    <row r="7" spans="1:4" ht="17.25" customHeight="1">
      <c r="A7" s="59" t="s">
        <v>2193</v>
      </c>
      <c r="B7" s="59" t="s">
        <v>2949</v>
      </c>
      <c r="C7" s="60" t="s">
        <v>2950</v>
      </c>
      <c r="D7" s="60" t="s">
        <v>2951</v>
      </c>
    </row>
    <row r="8" spans="1:4" ht="17.25" customHeight="1">
      <c r="A8" s="59" t="s">
        <v>7</v>
      </c>
      <c r="B8" s="59" t="s">
        <v>2949</v>
      </c>
      <c r="C8" s="60" t="s">
        <v>2952</v>
      </c>
      <c r="D8" s="60" t="s">
        <v>2953</v>
      </c>
    </row>
    <row r="9" spans="1:4" ht="17.25" customHeight="1">
      <c r="A9" s="59" t="s">
        <v>8</v>
      </c>
      <c r="B9" s="59" t="s">
        <v>2949</v>
      </c>
      <c r="C9" s="60" t="s">
        <v>2954</v>
      </c>
      <c r="D9" s="60" t="s">
        <v>2955</v>
      </c>
    </row>
    <row r="10" spans="1:4" ht="17.25" customHeight="1">
      <c r="A10" s="59" t="s">
        <v>11</v>
      </c>
      <c r="B10" s="59" t="s">
        <v>1650</v>
      </c>
      <c r="C10" s="60" t="s">
        <v>2956</v>
      </c>
      <c r="D10" s="60" t="s">
        <v>2957</v>
      </c>
    </row>
    <row r="11" spans="1:4" ht="17.25" customHeight="1">
      <c r="A11" s="59" t="s">
        <v>12</v>
      </c>
      <c r="B11" s="59" t="s">
        <v>2949</v>
      </c>
      <c r="C11" s="60" t="s">
        <v>2958</v>
      </c>
      <c r="D11" s="60" t="s">
        <v>2959</v>
      </c>
    </row>
    <row r="12" spans="1:4" ht="17.25" customHeight="1">
      <c r="A12" s="59" t="s">
        <v>13</v>
      </c>
      <c r="B12" s="59" t="s">
        <v>1650</v>
      </c>
      <c r="C12" s="60" t="s">
        <v>2960</v>
      </c>
      <c r="D12" s="60" t="s">
        <v>2961</v>
      </c>
    </row>
    <row r="13" spans="1:4" ht="17.25" customHeight="1">
      <c r="A13" s="59" t="s">
        <v>16</v>
      </c>
      <c r="B13" s="59" t="s">
        <v>2962</v>
      </c>
      <c r="C13" s="60" t="s">
        <v>2963</v>
      </c>
      <c r="D13" s="60" t="s">
        <v>2964</v>
      </c>
    </row>
    <row r="14" spans="1:4" ht="17.25" customHeight="1">
      <c r="A14" s="59" t="s">
        <v>2194</v>
      </c>
      <c r="B14" s="59" t="s">
        <v>2962</v>
      </c>
      <c r="C14" s="59" t="s">
        <v>2965</v>
      </c>
      <c r="D14" s="60" t="s">
        <v>2966</v>
      </c>
    </row>
    <row r="15" spans="1:4" ht="17.25" customHeight="1">
      <c r="A15" s="59" t="s">
        <v>18</v>
      </c>
      <c r="B15" s="59" t="s">
        <v>1640</v>
      </c>
      <c r="C15" s="60" t="s">
        <v>2967</v>
      </c>
      <c r="D15" s="60" t="s">
        <v>2968</v>
      </c>
    </row>
    <row r="16" spans="1:4" ht="17.25" customHeight="1">
      <c r="A16" s="59" t="s">
        <v>2195</v>
      </c>
      <c r="B16" s="59" t="s">
        <v>1640</v>
      </c>
      <c r="C16" s="60" t="s">
        <v>2969</v>
      </c>
      <c r="D16" s="60" t="s">
        <v>2970</v>
      </c>
    </row>
    <row r="17" spans="1:4" ht="17.25" customHeight="1">
      <c r="A17" s="59" t="s">
        <v>3</v>
      </c>
      <c r="B17" s="59" t="s">
        <v>2949</v>
      </c>
      <c r="C17" s="60" t="s">
        <v>2971</v>
      </c>
      <c r="D17" s="60" t="s">
        <v>2972</v>
      </c>
    </row>
    <row r="18" spans="1:4" ht="17.25" customHeight="1">
      <c r="A18" s="59" t="s">
        <v>26</v>
      </c>
      <c r="B18" s="59" t="s">
        <v>1640</v>
      </c>
      <c r="C18" s="60" t="s">
        <v>2973</v>
      </c>
      <c r="D18" s="60" t="s">
        <v>2974</v>
      </c>
    </row>
    <row r="19" spans="1:4" ht="17.25" customHeight="1">
      <c r="A19" s="59" t="s">
        <v>27</v>
      </c>
      <c r="B19" s="59" t="s">
        <v>1640</v>
      </c>
      <c r="C19" s="60" t="s">
        <v>2975</v>
      </c>
      <c r="D19" s="60" t="s">
        <v>2976</v>
      </c>
    </row>
    <row r="20" spans="1:4">
      <c r="A20" s="59" t="s">
        <v>2196</v>
      </c>
      <c r="B20" s="59" t="s">
        <v>1640</v>
      </c>
      <c r="C20" s="60" t="s">
        <v>2977</v>
      </c>
      <c r="D20" s="60" t="s">
        <v>2978</v>
      </c>
    </row>
  </sheetData>
  <phoneticPr fontId="2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2"/>
  <sheetViews>
    <sheetView zoomScaleNormal="100" zoomScalePageLayoutView="60" workbookViewId="0"/>
  </sheetViews>
  <sheetFormatPr defaultColWidth="8.59765625" defaultRowHeight="17.399999999999999"/>
  <cols>
    <col min="1" max="1" width="20.3984375" customWidth="1"/>
    <col min="2" max="2" width="39.796875" customWidth="1"/>
    <col min="3" max="3" width="42.59765625" customWidth="1"/>
    <col min="4" max="4" width="15.296875" customWidth="1"/>
  </cols>
  <sheetData>
    <row r="2" spans="1:4" ht="33.75" customHeight="1">
      <c r="A2" s="55" t="s">
        <v>2193</v>
      </c>
      <c r="B2" s="58" t="s">
        <v>1611</v>
      </c>
      <c r="C2" s="58" t="s">
        <v>1697</v>
      </c>
      <c r="D2" s="66" t="s">
        <v>2979</v>
      </c>
    </row>
    <row r="3" spans="1:4" ht="17.25" customHeight="1">
      <c r="A3" s="56" t="s">
        <v>2202</v>
      </c>
      <c r="B3" s="57" t="s">
        <v>2980</v>
      </c>
      <c r="C3" s="56" t="s">
        <v>2981</v>
      </c>
      <c r="D3" s="65">
        <v>85</v>
      </c>
    </row>
    <row r="4" spans="1:4" ht="17.25" customHeight="1">
      <c r="A4" s="56" t="s">
        <v>2125</v>
      </c>
      <c r="B4" s="57" t="s">
        <v>2982</v>
      </c>
      <c r="C4" s="57" t="s">
        <v>2983</v>
      </c>
      <c r="D4" s="65">
        <v>95</v>
      </c>
    </row>
    <row r="5" spans="1:4" ht="17.25" customHeight="1">
      <c r="A5" s="56" t="s">
        <v>2212</v>
      </c>
      <c r="B5" s="57" t="s">
        <v>2984</v>
      </c>
      <c r="C5" s="57" t="s">
        <v>2985</v>
      </c>
      <c r="D5" s="65">
        <v>100</v>
      </c>
    </row>
    <row r="6" spans="1:4" ht="17.25" customHeight="1">
      <c r="A6" s="56" t="s">
        <v>2114</v>
      </c>
      <c r="B6" s="57" t="s">
        <v>2986</v>
      </c>
      <c r="C6" s="57" t="s">
        <v>2987</v>
      </c>
      <c r="D6" s="65">
        <v>110</v>
      </c>
    </row>
    <row r="7" spans="1:4" ht="34.5" customHeight="1">
      <c r="A7" s="56" t="s">
        <v>2289</v>
      </c>
      <c r="B7" s="57" t="s">
        <v>2988</v>
      </c>
      <c r="C7" s="57" t="s">
        <v>2989</v>
      </c>
      <c r="D7" s="65">
        <v>100</v>
      </c>
    </row>
    <row r="8" spans="1:4" ht="17.25" customHeight="1">
      <c r="A8" s="56" t="s">
        <v>2186</v>
      </c>
      <c r="B8" s="57" t="s">
        <v>2990</v>
      </c>
      <c r="C8" s="56" t="s">
        <v>2991</v>
      </c>
      <c r="D8" s="65">
        <v>70</v>
      </c>
    </row>
    <row r="9" spans="1:4" ht="17.25" customHeight="1">
      <c r="A9" s="56" t="s">
        <v>2992</v>
      </c>
      <c r="B9" s="57" t="s">
        <v>2993</v>
      </c>
      <c r="C9" s="57" t="s">
        <v>2994</v>
      </c>
      <c r="D9" s="65">
        <v>105</v>
      </c>
    </row>
    <row r="10" spans="1:4" ht="17.25" customHeight="1">
      <c r="A10" s="56" t="s">
        <v>2225</v>
      </c>
      <c r="B10" s="57" t="s">
        <v>2995</v>
      </c>
      <c r="C10" s="56" t="s">
        <v>2981</v>
      </c>
      <c r="D10" s="65">
        <v>80</v>
      </c>
    </row>
    <row r="11" spans="1:4" ht="17.25" customHeight="1">
      <c r="A11" s="56" t="s">
        <v>2136</v>
      </c>
      <c r="B11" s="57" t="s">
        <v>2996</v>
      </c>
      <c r="C11" s="57" t="s">
        <v>2997</v>
      </c>
      <c r="D11" s="65">
        <v>95</v>
      </c>
    </row>
    <row r="12" spans="1:4" ht="17.25" customHeight="1">
      <c r="A12" s="56" t="s">
        <v>2376</v>
      </c>
      <c r="B12" s="57" t="s">
        <v>2998</v>
      </c>
      <c r="C12" s="61" t="s">
        <v>2999</v>
      </c>
      <c r="D12" s="65">
        <v>130</v>
      </c>
    </row>
    <row r="13" spans="1:4" ht="17.25" customHeight="1">
      <c r="A13" s="56" t="s">
        <v>2229</v>
      </c>
      <c r="B13" s="57" t="s">
        <v>3000</v>
      </c>
      <c r="C13" s="57" t="s">
        <v>3001</v>
      </c>
      <c r="D13" s="65">
        <v>95</v>
      </c>
    </row>
    <row r="14" spans="1:4" ht="17.25" customHeight="1">
      <c r="A14" s="56" t="s">
        <v>2331</v>
      </c>
      <c r="B14" s="57" t="s">
        <v>3002</v>
      </c>
      <c r="C14" s="57" t="s">
        <v>3003</v>
      </c>
      <c r="D14" s="65"/>
    </row>
    <row r="15" spans="1:4" ht="34.5" customHeight="1">
      <c r="A15" s="56" t="s">
        <v>2233</v>
      </c>
      <c r="B15" s="57" t="s">
        <v>3004</v>
      </c>
      <c r="C15" s="57" t="s">
        <v>3005</v>
      </c>
      <c r="D15" s="65"/>
    </row>
    <row r="16" spans="1:4" ht="17.25" customHeight="1">
      <c r="A16" s="56" t="s">
        <v>2240</v>
      </c>
      <c r="B16" s="57" t="s">
        <v>3006</v>
      </c>
      <c r="C16" s="57" t="s">
        <v>3007</v>
      </c>
      <c r="D16" s="65"/>
    </row>
    <row r="17" spans="1:4" ht="17.25" customHeight="1">
      <c r="A17" s="56" t="s">
        <v>2256</v>
      </c>
      <c r="B17" s="57" t="s">
        <v>3008</v>
      </c>
      <c r="C17" s="56" t="s">
        <v>2981</v>
      </c>
      <c r="D17" s="65"/>
    </row>
    <row r="18" spans="1:4" ht="17.25" customHeight="1">
      <c r="A18" s="56" t="s">
        <v>2260</v>
      </c>
      <c r="B18" s="57" t="s">
        <v>3009</v>
      </c>
      <c r="C18" s="56" t="s">
        <v>2981</v>
      </c>
      <c r="D18" s="65"/>
    </row>
    <row r="19" spans="1:4" ht="17.25" customHeight="1">
      <c r="A19" s="56" t="s">
        <v>2279</v>
      </c>
      <c r="B19" s="57" t="s">
        <v>3010</v>
      </c>
      <c r="C19" s="57" t="s">
        <v>3011</v>
      </c>
      <c r="D19" s="65"/>
    </row>
    <row r="20" spans="1:4" ht="34.5" customHeight="1">
      <c r="A20" s="56" t="s">
        <v>2310</v>
      </c>
      <c r="B20" s="57" t="s">
        <v>3012</v>
      </c>
      <c r="C20" s="57" t="s">
        <v>3013</v>
      </c>
      <c r="D20" s="65"/>
    </row>
    <row r="21" spans="1:4" ht="17.25" customHeight="1"/>
    <row r="22" spans="1:4" ht="17.25" customHeight="1"/>
  </sheetData>
  <phoneticPr fontId="2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Skill_DataTable</vt:lpstr>
      <vt:lpstr>Field_Guide</vt:lpstr>
      <vt:lpstr>Enum_Reference</vt:lpstr>
      <vt:lpstr>Enum_State</vt:lpstr>
      <vt:lpstr>Relic_DataTable</vt:lpstr>
      <vt:lpstr>Relic_Price_Config</vt:lpstr>
      <vt:lpstr>Relic_Field_Guide</vt:lpstr>
      <vt:lpstr>Enum_TriggerTiming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준행 이</cp:lastModifiedBy>
  <cp:revision>0</cp:revision>
  <dcterms:created xsi:type="dcterms:W3CDTF">2026-08-27T12:21:53Z</dcterms:created>
  <dcterms:modified xsi:type="dcterms:W3CDTF">2026-10-24T03:28:07Z</dcterms:modified>
  <dc:language>en-US</dc:language>
</cp:coreProperties>
</file>